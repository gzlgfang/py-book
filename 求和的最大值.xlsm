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embeddings/oleObject2.bin" ContentType="application/vnd.openxmlformats-officedocument.oleObject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embeddings/oleObject3.bin" ContentType="application/vnd.openxmlformats-officedocument.oleObject"/>
  <Override PartName="/xl/ctrlProps/ctrlProp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python 应用基础与提高\"/>
    </mc:Choice>
  </mc:AlternateContent>
  <bookViews>
    <workbookView xWindow="0" yWindow="0" windowWidth="18324" windowHeight="11388" activeTab="6"/>
  </bookViews>
  <sheets>
    <sheet name="Sheet1" sheetId="1" r:id="rId1"/>
    <sheet name="Sheet5" sheetId="5" r:id="rId2"/>
    <sheet name="Sheet6" sheetId="6" r:id="rId3"/>
    <sheet name="Sheet7" sheetId="7" r:id="rId4"/>
    <sheet name="Sheet2" sheetId="2" r:id="rId5"/>
    <sheet name="Sheet3" sheetId="3" r:id="rId6"/>
    <sheet name="Sheet4" sheetId="4" r:id="rId7"/>
  </sheets>
  <definedNames>
    <definedName name="solver_adj" localSheetId="0" hidden="1">Sheet1!$J$11:$K$11</definedName>
    <definedName name="solver_adj" localSheetId="4" hidden="1">Sheet2!$I$7</definedName>
    <definedName name="solver_adj" localSheetId="5" hidden="1">Sheet3!$G$7</definedName>
    <definedName name="solver_adj" localSheetId="6" hidden="1">Sheet4!$D$4</definedName>
    <definedName name="solver_adj" localSheetId="1" hidden="1">Sheet5!$D$4:$F$4</definedName>
    <definedName name="solver_adj" localSheetId="2" hidden="1">Sheet6!$D$4:$E$4</definedName>
    <definedName name="solver_cvg" localSheetId="0" hidden="1">0.0000000000001</definedName>
    <definedName name="solver_cvg" localSheetId="4" hidden="1">0.0000000000001</definedName>
    <definedName name="solver_cvg" localSheetId="5" hidden="1">0.0000000000001</definedName>
    <definedName name="solver_cvg" localSheetId="6" hidden="1">0.0000000000001</definedName>
    <definedName name="solver_cvg" localSheetId="1" hidden="1">0.000000000001</definedName>
    <definedName name="solver_cvg" localSheetId="2" hidden="1">0.0000000000001</definedName>
    <definedName name="solver_drv" localSheetId="0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1" hidden="1">2147483647</definedName>
    <definedName name="solver_itr" localSheetId="2" hidden="1">2147483647</definedName>
    <definedName name="solver_lhs1" localSheetId="0" hidden="1">Sheet1!$L$11</definedName>
    <definedName name="solver_lhs1" localSheetId="5" hidden="1">Sheet3!$D$10</definedName>
    <definedName name="solver_lhs1" localSheetId="1" hidden="1">Sheet5!$J$4</definedName>
    <definedName name="solver_lhs1" localSheetId="2" hidden="1">Sheet6!$F$4</definedName>
    <definedName name="solver_lhs2" localSheetId="5" hidden="1">Sheet3!$E$10</definedName>
    <definedName name="solver_mip" localSheetId="0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1" hidden="1">2147483647</definedName>
    <definedName name="solver_nod" localSheetId="2" hidden="1">2147483647</definedName>
    <definedName name="solver_num" localSheetId="0" hidden="1">1</definedName>
    <definedName name="solver_num" localSheetId="4" hidden="1">0</definedName>
    <definedName name="solver_num" localSheetId="5" hidden="1">2</definedName>
    <definedName name="solver_num" localSheetId="6" hidden="1">0</definedName>
    <definedName name="solver_num" localSheetId="1" hidden="1">1</definedName>
    <definedName name="solver_num" localSheetId="2" hidden="1">1</definedName>
    <definedName name="solver_nwt" localSheetId="0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1" hidden="1">1</definedName>
    <definedName name="solver_nwt" localSheetId="2" hidden="1">1</definedName>
    <definedName name="solver_opt" localSheetId="0" hidden="1">Sheet1!$M$11</definedName>
    <definedName name="solver_opt" localSheetId="4" hidden="1">Sheet2!$L$7</definedName>
    <definedName name="solver_opt" localSheetId="5" hidden="1">Sheet3!$J$7</definedName>
    <definedName name="solver_opt" localSheetId="6" hidden="1">Sheet4!$J$4</definedName>
    <definedName name="solver_opt" localSheetId="1" hidden="1">Sheet5!$L$4</definedName>
    <definedName name="solver_opt" localSheetId="2" hidden="1">Sheet6!$K$4</definedName>
    <definedName name="solver_pre" localSheetId="0" hidden="1">0.0000000000001</definedName>
    <definedName name="solver_pre" localSheetId="4" hidden="1">0.00000000000001</definedName>
    <definedName name="solver_pre" localSheetId="5" hidden="1">0.0000000000001</definedName>
    <definedName name="solver_pre" localSheetId="6" hidden="1">0.000000000001</definedName>
    <definedName name="solver_pre" localSheetId="1" hidden="1">0.0000000000001</definedName>
    <definedName name="solver_pre" localSheetId="2" hidden="1">0.00000000001</definedName>
    <definedName name="solver_rbv" localSheetId="0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1" hidden="1">1</definedName>
    <definedName name="solver_rbv" localSheetId="2" hidden="1">1</definedName>
    <definedName name="solver_rel1" localSheetId="0" hidden="1">2</definedName>
    <definedName name="solver_rel1" localSheetId="5" hidden="1">3</definedName>
    <definedName name="solver_rel1" localSheetId="1" hidden="1">2</definedName>
    <definedName name="solver_rel1" localSheetId="2" hidden="1">2</definedName>
    <definedName name="solver_rel2" localSheetId="5" hidden="1">3</definedName>
    <definedName name="solver_rhs1" localSheetId="0" hidden="1">Sheet1!$L$12</definedName>
    <definedName name="solver_rhs1" localSheetId="5" hidden="1">0</definedName>
    <definedName name="solver_rhs1" localSheetId="1" hidden="1">Sheet5!$K$4</definedName>
    <definedName name="solver_rhs1" localSheetId="2" hidden="1">Sheet6!$I$4</definedName>
    <definedName name="solver_rhs2" localSheetId="5" hidden="1">0</definedName>
    <definedName name="solver_rlx" localSheetId="0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1" hidden="1">0.01</definedName>
    <definedName name="solver_tol" localSheetId="2" hidden="1">0.01</definedName>
    <definedName name="solver_typ" localSheetId="0" hidden="1">1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1" hidden="1">1</definedName>
    <definedName name="solver_typ" localSheetId="2" hidden="1">1</definedName>
    <definedName name="solver_val" localSheetId="0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1" hidden="1">3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4" l="1"/>
  <c r="M4" i="7" l="1"/>
  <c r="M3" i="7"/>
  <c r="L3" i="7"/>
  <c r="G17" i="7"/>
  <c r="H17" i="7"/>
  <c r="I17" i="7"/>
  <c r="G18" i="7"/>
  <c r="I18" i="7" s="1"/>
  <c r="H18" i="7"/>
  <c r="G19" i="7"/>
  <c r="I19" i="7" s="1"/>
  <c r="H19" i="7"/>
  <c r="G20" i="7"/>
  <c r="H20" i="7"/>
  <c r="I20" i="7"/>
  <c r="G21" i="7"/>
  <c r="H21" i="7"/>
  <c r="I21" i="7"/>
  <c r="G4" i="7"/>
  <c r="H4" i="7"/>
  <c r="I4" i="7"/>
  <c r="G5" i="7"/>
  <c r="I5" i="7" s="1"/>
  <c r="H5" i="7"/>
  <c r="G6" i="7"/>
  <c r="I6" i="7" s="1"/>
  <c r="H6" i="7"/>
  <c r="G7" i="7"/>
  <c r="H7" i="7"/>
  <c r="I7" i="7"/>
  <c r="G8" i="7"/>
  <c r="H8" i="7"/>
  <c r="I8" i="7"/>
  <c r="G9" i="7"/>
  <c r="I9" i="7" s="1"/>
  <c r="H9" i="7"/>
  <c r="G10" i="7"/>
  <c r="I10" i="7" s="1"/>
  <c r="H10" i="7"/>
  <c r="G11" i="7"/>
  <c r="H11" i="7"/>
  <c r="I11" i="7"/>
  <c r="G12" i="7"/>
  <c r="H12" i="7"/>
  <c r="I12" i="7"/>
  <c r="G13" i="7"/>
  <c r="I13" i="7" s="1"/>
  <c r="H13" i="7"/>
  <c r="G14" i="7"/>
  <c r="I14" i="7" s="1"/>
  <c r="H14" i="7"/>
  <c r="G15" i="7"/>
  <c r="H15" i="7"/>
  <c r="I15" i="7"/>
  <c r="G16" i="7"/>
  <c r="H16" i="7"/>
  <c r="I16" i="7"/>
  <c r="H3" i="7"/>
  <c r="G3" i="7"/>
  <c r="I3" i="7" s="1"/>
  <c r="E5" i="6" l="1"/>
  <c r="F4" i="6"/>
  <c r="K4" i="6"/>
  <c r="F5" i="5"/>
  <c r="E5" i="5"/>
  <c r="L4" i="5"/>
  <c r="J4" i="5"/>
  <c r="G19" i="4" l="1"/>
  <c r="F19" i="4"/>
  <c r="F18" i="4"/>
  <c r="G17" i="4"/>
  <c r="F17" i="4"/>
  <c r="F16" i="4"/>
  <c r="G15" i="4"/>
  <c r="F15" i="4"/>
  <c r="F14" i="4"/>
  <c r="G13" i="4"/>
  <c r="S6" i="3" l="1"/>
  <c r="R6" i="3"/>
  <c r="H80" i="3"/>
  <c r="I80" i="3"/>
  <c r="H81" i="3"/>
  <c r="J81" i="3" s="1"/>
  <c r="I81" i="3"/>
  <c r="H82" i="3"/>
  <c r="I82" i="3"/>
  <c r="H8" i="3"/>
  <c r="J8" i="3" s="1"/>
  <c r="I8" i="3"/>
  <c r="H9" i="3"/>
  <c r="J9" i="3" s="1"/>
  <c r="I9" i="3"/>
  <c r="H10" i="3"/>
  <c r="J10" i="3" s="1"/>
  <c r="I10" i="3"/>
  <c r="H11" i="3"/>
  <c r="J11" i="3" s="1"/>
  <c r="I11" i="3"/>
  <c r="H12" i="3"/>
  <c r="J12" i="3" s="1"/>
  <c r="I12" i="3"/>
  <c r="H13" i="3"/>
  <c r="J13" i="3" s="1"/>
  <c r="I13" i="3"/>
  <c r="H14" i="3"/>
  <c r="J14" i="3" s="1"/>
  <c r="I14" i="3"/>
  <c r="H15" i="3"/>
  <c r="J15" i="3" s="1"/>
  <c r="I15" i="3"/>
  <c r="H16" i="3"/>
  <c r="J16" i="3" s="1"/>
  <c r="I16" i="3"/>
  <c r="H17" i="3"/>
  <c r="J17" i="3" s="1"/>
  <c r="I17" i="3"/>
  <c r="H18" i="3"/>
  <c r="J18" i="3" s="1"/>
  <c r="I18" i="3"/>
  <c r="H19" i="3"/>
  <c r="J19" i="3" s="1"/>
  <c r="I19" i="3"/>
  <c r="H20" i="3"/>
  <c r="J20" i="3" s="1"/>
  <c r="I20" i="3"/>
  <c r="H21" i="3"/>
  <c r="J21" i="3" s="1"/>
  <c r="I21" i="3"/>
  <c r="H22" i="3"/>
  <c r="J22" i="3" s="1"/>
  <c r="I22" i="3"/>
  <c r="H23" i="3"/>
  <c r="J23" i="3" s="1"/>
  <c r="I23" i="3"/>
  <c r="H24" i="3"/>
  <c r="J24" i="3" s="1"/>
  <c r="I24" i="3"/>
  <c r="H25" i="3"/>
  <c r="J25" i="3" s="1"/>
  <c r="I25" i="3"/>
  <c r="H26" i="3"/>
  <c r="J26" i="3" s="1"/>
  <c r="I26" i="3"/>
  <c r="H27" i="3"/>
  <c r="J27" i="3" s="1"/>
  <c r="I27" i="3"/>
  <c r="H28" i="3"/>
  <c r="I28" i="3"/>
  <c r="H29" i="3"/>
  <c r="J29" i="3" s="1"/>
  <c r="I29" i="3"/>
  <c r="H30" i="3"/>
  <c r="J30" i="3" s="1"/>
  <c r="I30" i="3"/>
  <c r="H31" i="3"/>
  <c r="J31" i="3" s="1"/>
  <c r="I31" i="3"/>
  <c r="H32" i="3"/>
  <c r="I32" i="3"/>
  <c r="H33" i="3"/>
  <c r="J33" i="3" s="1"/>
  <c r="I33" i="3"/>
  <c r="H34" i="3"/>
  <c r="J34" i="3" s="1"/>
  <c r="I34" i="3"/>
  <c r="H35" i="3"/>
  <c r="I35" i="3"/>
  <c r="H36" i="3"/>
  <c r="J36" i="3" s="1"/>
  <c r="I36" i="3"/>
  <c r="H37" i="3"/>
  <c r="I37" i="3"/>
  <c r="H38" i="3"/>
  <c r="J38" i="3" s="1"/>
  <c r="I38" i="3"/>
  <c r="H39" i="3"/>
  <c r="I39" i="3"/>
  <c r="H40" i="3"/>
  <c r="J40" i="3" s="1"/>
  <c r="I40" i="3"/>
  <c r="H41" i="3"/>
  <c r="J41" i="3" s="1"/>
  <c r="I41" i="3"/>
  <c r="H42" i="3"/>
  <c r="I42" i="3"/>
  <c r="H43" i="3"/>
  <c r="J43" i="3" s="1"/>
  <c r="I43" i="3"/>
  <c r="H44" i="3"/>
  <c r="I44" i="3"/>
  <c r="H45" i="3"/>
  <c r="J45" i="3" s="1"/>
  <c r="I45" i="3"/>
  <c r="H46" i="3"/>
  <c r="J46" i="3" s="1"/>
  <c r="I46" i="3"/>
  <c r="H47" i="3"/>
  <c r="J47" i="3" s="1"/>
  <c r="I47" i="3"/>
  <c r="H48" i="3"/>
  <c r="I48" i="3"/>
  <c r="H49" i="3"/>
  <c r="J49" i="3" s="1"/>
  <c r="I49" i="3"/>
  <c r="H50" i="3"/>
  <c r="J50" i="3" s="1"/>
  <c r="I50" i="3"/>
  <c r="H51" i="3"/>
  <c r="I51" i="3"/>
  <c r="H52" i="3"/>
  <c r="J52" i="3" s="1"/>
  <c r="I52" i="3"/>
  <c r="H53" i="3"/>
  <c r="I53" i="3"/>
  <c r="H54" i="3"/>
  <c r="J54" i="3" s="1"/>
  <c r="I54" i="3"/>
  <c r="H55" i="3"/>
  <c r="I55" i="3"/>
  <c r="H56" i="3"/>
  <c r="J56" i="3" s="1"/>
  <c r="I56" i="3"/>
  <c r="H57" i="3"/>
  <c r="J57" i="3" s="1"/>
  <c r="I57" i="3"/>
  <c r="H58" i="3"/>
  <c r="I58" i="3"/>
  <c r="H59" i="3"/>
  <c r="J59" i="3" s="1"/>
  <c r="I59" i="3"/>
  <c r="H60" i="3"/>
  <c r="I60" i="3"/>
  <c r="H61" i="3"/>
  <c r="J61" i="3" s="1"/>
  <c r="I61" i="3"/>
  <c r="H62" i="3"/>
  <c r="J62" i="3" s="1"/>
  <c r="I62" i="3"/>
  <c r="H63" i="3"/>
  <c r="J63" i="3" s="1"/>
  <c r="I63" i="3"/>
  <c r="H64" i="3"/>
  <c r="I64" i="3"/>
  <c r="H65" i="3"/>
  <c r="J65" i="3" s="1"/>
  <c r="I65" i="3"/>
  <c r="H66" i="3"/>
  <c r="J66" i="3" s="1"/>
  <c r="I66" i="3"/>
  <c r="H67" i="3"/>
  <c r="I67" i="3"/>
  <c r="H68" i="3"/>
  <c r="J68" i="3" s="1"/>
  <c r="I68" i="3"/>
  <c r="H69" i="3"/>
  <c r="I69" i="3"/>
  <c r="H70" i="3"/>
  <c r="J70" i="3" s="1"/>
  <c r="I70" i="3"/>
  <c r="H71" i="3"/>
  <c r="I71" i="3"/>
  <c r="H72" i="3"/>
  <c r="J72" i="3" s="1"/>
  <c r="I72" i="3"/>
  <c r="H73" i="3"/>
  <c r="J73" i="3" s="1"/>
  <c r="I73" i="3"/>
  <c r="H74" i="3"/>
  <c r="I74" i="3"/>
  <c r="H75" i="3"/>
  <c r="J75" i="3" s="1"/>
  <c r="I75" i="3"/>
  <c r="H76" i="3"/>
  <c r="I76" i="3"/>
  <c r="H77" i="3"/>
  <c r="J77" i="3" s="1"/>
  <c r="I77" i="3"/>
  <c r="H78" i="3"/>
  <c r="J78" i="3" s="1"/>
  <c r="I78" i="3"/>
  <c r="H79" i="3"/>
  <c r="I79" i="3"/>
  <c r="H7" i="3"/>
  <c r="E15" i="3"/>
  <c r="D15" i="3"/>
  <c r="R8" i="3"/>
  <c r="S8" i="3"/>
  <c r="I7" i="3"/>
  <c r="J48" i="3" l="1"/>
  <c r="J39" i="3"/>
  <c r="J82" i="3"/>
  <c r="J71" i="3"/>
  <c r="J64" i="3"/>
  <c r="J55" i="3"/>
  <c r="J32" i="3"/>
  <c r="J76" i="3"/>
  <c r="J74" i="3"/>
  <c r="J69" i="3"/>
  <c r="J67" i="3"/>
  <c r="J60" i="3"/>
  <c r="J58" i="3"/>
  <c r="J53" i="3"/>
  <c r="J51" i="3"/>
  <c r="J44" i="3"/>
  <c r="J42" i="3"/>
  <c r="J37" i="3"/>
  <c r="J35" i="3"/>
  <c r="J28" i="3"/>
  <c r="J80" i="3"/>
  <c r="J79" i="3"/>
  <c r="O9" i="2"/>
  <c r="S5" i="3"/>
  <c r="S7" i="3"/>
  <c r="R7" i="3"/>
  <c r="P7" i="2"/>
  <c r="J57" i="2"/>
  <c r="K57" i="2"/>
  <c r="J58" i="2"/>
  <c r="K58" i="2"/>
  <c r="J59" i="2"/>
  <c r="K59" i="2"/>
  <c r="J60" i="2"/>
  <c r="K60" i="2"/>
  <c r="J61" i="2"/>
  <c r="K61" i="2"/>
  <c r="J62" i="2"/>
  <c r="K6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8" i="2"/>
  <c r="K8" i="2"/>
  <c r="J9" i="2"/>
  <c r="K9" i="2"/>
  <c r="J10" i="2"/>
  <c r="K10" i="2"/>
  <c r="J11" i="2"/>
  <c r="K11" i="2"/>
  <c r="L11" i="2" s="1"/>
  <c r="J12" i="2"/>
  <c r="K12" i="2"/>
  <c r="J13" i="2"/>
  <c r="K13" i="2"/>
  <c r="J14" i="2"/>
  <c r="K14" i="2"/>
  <c r="J15" i="2"/>
  <c r="K15" i="2"/>
  <c r="L15" i="2" s="1"/>
  <c r="J16" i="2"/>
  <c r="K16" i="2"/>
  <c r="J17" i="2"/>
  <c r="K17" i="2"/>
  <c r="J18" i="2"/>
  <c r="K18" i="2"/>
  <c r="J19" i="2"/>
  <c r="K19" i="2"/>
  <c r="L19" i="2" s="1"/>
  <c r="J20" i="2"/>
  <c r="K20" i="2"/>
  <c r="J21" i="2"/>
  <c r="K21" i="2"/>
  <c r="J22" i="2"/>
  <c r="K22" i="2"/>
  <c r="K7" i="2"/>
  <c r="J7" i="2"/>
  <c r="R5" i="3" l="1"/>
  <c r="E10" i="3"/>
  <c r="D10" i="3"/>
  <c r="L53" i="2"/>
  <c r="L41" i="2"/>
  <c r="L37" i="2"/>
  <c r="L33" i="2"/>
  <c r="L29" i="2"/>
  <c r="L25" i="2"/>
  <c r="L59" i="2"/>
  <c r="L54" i="2"/>
  <c r="L50" i="2"/>
  <c r="L42" i="2"/>
  <c r="L30" i="2"/>
  <c r="L16" i="2"/>
  <c r="L8" i="2"/>
  <c r="L49" i="2"/>
  <c r="J7" i="3"/>
  <c r="L46" i="2"/>
  <c r="L20" i="2"/>
  <c r="L38" i="2"/>
  <c r="L34" i="2"/>
  <c r="L12" i="2"/>
  <c r="L45" i="2"/>
  <c r="L26" i="2"/>
  <c r="L60" i="2"/>
  <c r="L28" i="2"/>
  <c r="L7" i="2"/>
  <c r="L22" i="2"/>
  <c r="L9" i="2"/>
  <c r="L31" i="2"/>
  <c r="L62" i="2"/>
  <c r="L17" i="2"/>
  <c r="L14" i="2"/>
  <c r="L23" i="2"/>
  <c r="L57" i="2"/>
  <c r="L56" i="2"/>
  <c r="L40" i="2"/>
  <c r="L27" i="2"/>
  <c r="L24" i="2"/>
  <c r="L48" i="2"/>
  <c r="L43" i="2"/>
  <c r="L21" i="2"/>
  <c r="L18" i="2"/>
  <c r="L13" i="2"/>
  <c r="L10" i="2"/>
  <c r="L61" i="2"/>
  <c r="L58" i="2"/>
  <c r="L51" i="2"/>
  <c r="L35" i="2"/>
  <c r="L32" i="2"/>
  <c r="L55" i="2"/>
  <c r="L52" i="2"/>
  <c r="L47" i="2"/>
  <c r="L44" i="2"/>
  <c r="L39" i="2"/>
  <c r="L36" i="2"/>
  <c r="N12" i="1"/>
  <c r="J12" i="1"/>
  <c r="H12" i="1"/>
  <c r="F12" i="1"/>
  <c r="L12" i="1" l="1"/>
  <c r="L11" i="1"/>
  <c r="M11" i="1"/>
  <c r="O11" i="1"/>
</calcChain>
</file>

<file path=xl/sharedStrings.xml><?xml version="1.0" encoding="utf-8"?>
<sst xmlns="http://schemas.openxmlformats.org/spreadsheetml/2006/main" count="86" uniqueCount="54">
  <si>
    <t>max:J=ax+by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</si>
  <si>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</si>
  <si>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</si>
  <si>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</si>
  <si>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</si>
  <si>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</si>
  <si>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</si>
  <si>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</si>
  <si>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x</t>
    <phoneticPr fontId="1" type="noConversion"/>
  </si>
  <si>
    <t>y</t>
    <phoneticPr fontId="1" type="noConversion"/>
  </si>
  <si>
    <t>J_com</t>
    <phoneticPr fontId="1" type="noConversion"/>
  </si>
  <si>
    <t>J_max</t>
    <phoneticPr fontId="1" type="noConversion"/>
  </si>
  <si>
    <r>
      <t>J_AB=(AX+BY)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+(BX-AY)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=J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+(BX-AY)</t>
    </r>
    <r>
      <rPr>
        <b/>
        <vertAlign val="superscript"/>
        <sz val="24"/>
        <color theme="1"/>
        <rFont val="Times New Roman"/>
        <family val="1"/>
      </rPr>
      <t>2</t>
    </r>
    <phoneticPr fontId="1" type="noConversion"/>
  </si>
  <si>
    <r>
      <t>J_AB=(A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+B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)(X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+Y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)=(A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+B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)c</t>
    </r>
    <phoneticPr fontId="1" type="noConversion"/>
  </si>
  <si>
    <r>
      <rPr>
        <b/>
        <sz val="24"/>
        <color theme="1"/>
        <rFont val="宋体"/>
        <family val="3"/>
        <charset val="134"/>
      </rPr>
      <t>分析：当</t>
    </r>
    <r>
      <rPr>
        <b/>
        <sz val="24"/>
        <color theme="1"/>
        <rFont val="Times New Roman"/>
        <family val="1"/>
      </rPr>
      <t>(BX-AY)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=0</t>
    </r>
    <r>
      <rPr>
        <b/>
        <sz val="24"/>
        <color theme="1"/>
        <rFont val="宋体"/>
        <family val="3"/>
        <charset val="134"/>
      </rPr>
      <t>时，</t>
    </r>
    <r>
      <rPr>
        <b/>
        <sz val="24"/>
        <color theme="1"/>
        <rFont val="Times New Roman"/>
        <family val="1"/>
      </rPr>
      <t>J</t>
    </r>
    <r>
      <rPr>
        <b/>
        <sz val="24"/>
        <color theme="1"/>
        <rFont val="宋体"/>
        <family val="3"/>
        <charset val="134"/>
      </rPr>
      <t>可取最大值</t>
    </r>
    <phoneticPr fontId="1" type="noConversion"/>
  </si>
  <si>
    <r>
      <t>st:dx</t>
    </r>
    <r>
      <rPr>
        <b/>
        <vertAlign val="superscript"/>
        <sz val="22"/>
        <color rgb="FFFF0000"/>
        <rFont val="Times New Roman"/>
        <family val="1"/>
      </rPr>
      <t>2</t>
    </r>
    <r>
      <rPr>
        <b/>
        <sz val="22"/>
        <color rgb="FFFF0000"/>
        <rFont val="Times New Roman"/>
        <family val="1"/>
      </rPr>
      <t>+ey</t>
    </r>
    <r>
      <rPr>
        <b/>
        <vertAlign val="superscript"/>
        <sz val="22"/>
        <color rgb="FFFF0000"/>
        <rFont val="Times New Roman"/>
        <family val="1"/>
      </rPr>
      <t>2</t>
    </r>
    <r>
      <rPr>
        <b/>
        <sz val="22"/>
        <color rgb="FFFF0000"/>
        <rFont val="Times New Roman"/>
        <family val="1"/>
      </rPr>
      <t>=c</t>
    </r>
    <phoneticPr fontId="1" type="noConversion"/>
  </si>
  <si>
    <r>
      <t>max:J=AX+BY;A=a/d</t>
    </r>
    <r>
      <rPr>
        <b/>
        <vertAlign val="superscript"/>
        <sz val="24"/>
        <color rgb="FF0000FF"/>
        <rFont val="Times New Roman"/>
        <family val="1"/>
      </rPr>
      <t xml:space="preserve">0.5 </t>
    </r>
    <r>
      <rPr>
        <b/>
        <sz val="24"/>
        <color rgb="FF0000FF"/>
        <rFont val="Times New Roman"/>
        <family val="1"/>
      </rPr>
      <t>,B=b/e</t>
    </r>
    <r>
      <rPr>
        <b/>
        <vertAlign val="superscript"/>
        <sz val="24"/>
        <color rgb="FF0000FF"/>
        <rFont val="Times New Roman"/>
        <family val="1"/>
      </rPr>
      <t>0.5</t>
    </r>
    <phoneticPr fontId="1" type="noConversion"/>
  </si>
  <si>
    <r>
      <t>st:X</t>
    </r>
    <r>
      <rPr>
        <b/>
        <vertAlign val="superscript"/>
        <sz val="24"/>
        <color rgb="FF0000FF"/>
        <rFont val="Times New Roman"/>
        <family val="1"/>
      </rPr>
      <t>2</t>
    </r>
    <r>
      <rPr>
        <b/>
        <sz val="24"/>
        <color rgb="FF0000FF"/>
        <rFont val="Times New Roman"/>
        <family val="1"/>
      </rPr>
      <t>+Y</t>
    </r>
    <r>
      <rPr>
        <b/>
        <vertAlign val="superscript"/>
        <sz val="24"/>
        <color rgb="FF0000FF"/>
        <rFont val="Times New Roman"/>
        <family val="1"/>
      </rPr>
      <t>2</t>
    </r>
    <r>
      <rPr>
        <b/>
        <sz val="24"/>
        <color rgb="FF0000FF"/>
        <rFont val="Times New Roman"/>
        <family val="1"/>
      </rPr>
      <t>=c ;X=d</t>
    </r>
    <r>
      <rPr>
        <b/>
        <vertAlign val="superscript"/>
        <sz val="24"/>
        <color rgb="FF0000FF"/>
        <rFont val="Times New Roman"/>
        <family val="1"/>
      </rPr>
      <t>0.5</t>
    </r>
    <r>
      <rPr>
        <b/>
        <sz val="24"/>
        <color rgb="FF0000FF"/>
        <rFont val="Times New Roman"/>
        <family val="1"/>
      </rPr>
      <t>x,Y=e</t>
    </r>
    <r>
      <rPr>
        <b/>
        <vertAlign val="superscript"/>
        <sz val="24"/>
        <color rgb="FF0000FF"/>
        <rFont val="Times New Roman"/>
        <family val="1"/>
      </rPr>
      <t>0.5</t>
    </r>
    <r>
      <rPr>
        <b/>
        <sz val="24"/>
        <color rgb="FF0000FF"/>
        <rFont val="Times New Roman"/>
        <family val="1"/>
      </rPr>
      <t>y</t>
    </r>
    <phoneticPr fontId="1" type="noConversion"/>
  </si>
  <si>
    <r>
      <t>J_max=((a</t>
    </r>
    <r>
      <rPr>
        <b/>
        <vertAlign val="superscript"/>
        <sz val="24"/>
        <color rgb="FF7030A0"/>
        <rFont val="Times New Roman"/>
        <family val="1"/>
      </rPr>
      <t>2</t>
    </r>
    <r>
      <rPr>
        <b/>
        <sz val="24"/>
        <color rgb="FF7030A0"/>
        <rFont val="Times New Roman"/>
        <family val="1"/>
      </rPr>
      <t>/d+b</t>
    </r>
    <r>
      <rPr>
        <b/>
        <vertAlign val="superscript"/>
        <sz val="24"/>
        <color rgb="FF7030A0"/>
        <rFont val="Times New Roman"/>
        <family val="1"/>
      </rPr>
      <t>2</t>
    </r>
    <r>
      <rPr>
        <b/>
        <sz val="24"/>
        <color rgb="FF7030A0"/>
        <rFont val="Times New Roman"/>
        <family val="1"/>
      </rPr>
      <t>/e)×c)</t>
    </r>
    <r>
      <rPr>
        <b/>
        <vertAlign val="superscript"/>
        <sz val="24"/>
        <color rgb="FF7030A0"/>
        <rFont val="Times New Roman"/>
        <family val="1"/>
      </rPr>
      <t>0.5</t>
    </r>
    <phoneticPr fontId="1" type="noConversion"/>
  </si>
  <si>
    <t>A=</t>
    <phoneticPr fontId="1" type="noConversion"/>
  </si>
  <si>
    <t>B=</t>
    <phoneticPr fontId="1" type="noConversion"/>
  </si>
  <si>
    <t>X=</t>
    <phoneticPr fontId="1" type="noConversion"/>
  </si>
  <si>
    <t>Y=</t>
    <phoneticPr fontId="1" type="noConversion"/>
  </si>
  <si>
    <t>b</t>
    <phoneticPr fontId="1" type="noConversion"/>
  </si>
  <si>
    <t>d</t>
    <phoneticPr fontId="1" type="noConversion"/>
  </si>
  <si>
    <t>J1</t>
    <phoneticPr fontId="1" type="noConversion"/>
  </si>
  <si>
    <t>J2</t>
    <phoneticPr fontId="1" type="noConversion"/>
  </si>
  <si>
    <t>J</t>
    <phoneticPr fontId="1" type="noConversion"/>
  </si>
  <si>
    <t>J_1</t>
    <phoneticPr fontId="1" type="noConversion"/>
  </si>
  <si>
    <t>J_2</t>
    <phoneticPr fontId="1" type="noConversion"/>
  </si>
  <si>
    <t>x=(bc-da)/(b+d)</t>
    <phoneticPr fontId="1" type="noConversion"/>
  </si>
  <si>
    <t>公式求解：</t>
    <phoneticPr fontId="1" type="noConversion"/>
  </si>
  <si>
    <t>x=-a±(-b)^0.5</t>
    <phoneticPr fontId="1" type="noConversion"/>
  </si>
  <si>
    <t>x=-c±(-d)^0.5</t>
    <phoneticPr fontId="1" type="noConversion"/>
  </si>
  <si>
    <t>J</t>
    <phoneticPr fontId="1" type="noConversion"/>
  </si>
  <si>
    <t>J</t>
    <phoneticPr fontId="1" type="noConversion"/>
  </si>
  <si>
    <t>J</t>
    <phoneticPr fontId="1" type="noConversion"/>
  </si>
  <si>
    <t>求某已知直线上的一个点，使该点到已知三个点的距离之和最短</t>
    <phoneticPr fontId="1" type="noConversion"/>
  </si>
  <si>
    <t>z</t>
    <phoneticPr fontId="1" type="noConversion"/>
  </si>
  <si>
    <t>st:2x+3y+4z=1</t>
    <phoneticPr fontId="1" type="noConversion"/>
  </si>
  <si>
    <t>st</t>
    <phoneticPr fontId="1" type="noConversion"/>
  </si>
  <si>
    <t>b</t>
    <phoneticPr fontId="1" type="noConversion"/>
  </si>
  <si>
    <t>c</t>
    <phoneticPr fontId="1" type="noConversion"/>
  </si>
  <si>
    <t>J=x^2++y^2+z^2</t>
    <phoneticPr fontId="1" type="noConversion"/>
  </si>
  <si>
    <t>st:a/x^2+b/y</t>
    <phoneticPr fontId="1" type="noConversion"/>
  </si>
  <si>
    <t>st:</t>
    <phoneticPr fontId="1" type="noConversion"/>
  </si>
  <si>
    <t>J=x+y</t>
    <phoneticPr fontId="1" type="noConversion"/>
  </si>
  <si>
    <t>y</t>
    <phoneticPr fontId="1" type="noConversion"/>
  </si>
  <si>
    <t>x^y</t>
    <phoneticPr fontId="1" type="noConversion"/>
  </si>
  <si>
    <t>y^x</t>
    <phoneticPr fontId="1" type="noConversion"/>
  </si>
  <si>
    <t>p</t>
    <phoneticPr fontId="1" type="noConversion"/>
  </si>
  <si>
    <t>2^31</t>
    <phoneticPr fontId="1" type="noConversion"/>
  </si>
  <si>
    <t>3^21</t>
    <phoneticPr fontId="1" type="noConversion"/>
  </si>
  <si>
    <t>J=((b+d)^2+(a+c)^2)^0.5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</si>
</sst>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2"/>
      <color theme="1"/>
      <name val="宋体"/>
      <family val="2"/>
      <charset val="134"/>
      <scheme val="minor"/>
    </font>
    <font>
      <sz val="24"/>
      <color theme="1"/>
      <name val="宋体"/>
      <family val="2"/>
      <charset val="134"/>
      <scheme val="minor"/>
    </font>
    <font>
      <sz val="36"/>
      <color rgb="FF000000"/>
      <name val="宋体"/>
      <family val="3"/>
      <charset val="134"/>
    </font>
    <font>
      <b/>
      <sz val="24"/>
      <color theme="1"/>
      <name val="宋体"/>
      <family val="3"/>
      <charset val="134"/>
    </font>
    <font>
      <b/>
      <sz val="22"/>
      <color theme="1"/>
      <name val="Times New Roman"/>
      <family val="1"/>
    </font>
    <font>
      <b/>
      <sz val="11"/>
      <color theme="1"/>
      <name val="Times New Roman"/>
      <family val="1"/>
    </font>
    <font>
      <b/>
      <sz val="24"/>
      <color theme="1"/>
      <name val="Times New Roman"/>
      <family val="1"/>
    </font>
    <font>
      <b/>
      <vertAlign val="superscript"/>
      <sz val="24"/>
      <color theme="1"/>
      <name val="Times New Roman"/>
      <family val="1"/>
    </font>
    <font>
      <b/>
      <sz val="22"/>
      <color rgb="FFFF0000"/>
      <name val="Times New Roman"/>
      <family val="1"/>
    </font>
    <font>
      <b/>
      <vertAlign val="superscript"/>
      <sz val="22"/>
      <color rgb="FFFF0000"/>
      <name val="Times New Roman"/>
      <family val="1"/>
    </font>
    <font>
      <b/>
      <sz val="24"/>
      <color rgb="FF0000FF"/>
      <name val="Times New Roman"/>
      <family val="1"/>
    </font>
    <font>
      <b/>
      <vertAlign val="superscript"/>
      <sz val="24"/>
      <color rgb="FF0000FF"/>
      <name val="Times New Roman"/>
      <family val="1"/>
    </font>
    <font>
      <b/>
      <sz val="24"/>
      <color rgb="FFFF0000"/>
      <name val="Times New Roman"/>
      <family val="1"/>
    </font>
    <font>
      <b/>
      <sz val="24"/>
      <color rgb="FF7030A0"/>
      <name val="Times New Roman"/>
      <family val="1"/>
    </font>
    <font>
      <b/>
      <vertAlign val="superscript"/>
      <sz val="24"/>
      <color rgb="FF7030A0"/>
      <name val="Times New Roman"/>
      <family val="1"/>
    </font>
    <font>
      <sz val="18"/>
      <color theme="1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sz val="20"/>
      <color theme="1"/>
      <name val="宋体"/>
      <family val="2"/>
      <charset val="134"/>
      <scheme val="minor"/>
    </font>
    <font>
      <b/>
      <sz val="28"/>
      <color theme="1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sz val="18"/>
      <color rgb="FF0000FF"/>
      <name val="宋体"/>
      <family val="2"/>
      <charset val="134"/>
      <scheme val="minor"/>
    </font>
    <font>
      <sz val="18"/>
      <color rgb="FF0000FF"/>
      <name val="宋体"/>
      <family val="3"/>
      <charset val="134"/>
      <scheme val="minor"/>
    </font>
    <font>
      <b/>
      <sz val="20"/>
      <color rgb="FF0000FF"/>
      <name val="宋体"/>
      <family val="3"/>
      <charset val="134"/>
      <scheme val="minor"/>
    </font>
    <font>
      <sz val="20"/>
      <color rgb="FF0000FF"/>
      <name val="宋体"/>
      <family val="3"/>
      <charset val="134"/>
      <scheme val="minor"/>
    </font>
    <font>
      <sz val="24"/>
      <color rgb="FF000000"/>
      <name val="宋体"/>
      <family val="3"/>
      <charset val="134"/>
    </font>
    <font>
      <sz val="20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26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22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0" applyFont="1" applyBorder="1" applyAlignment="1">
      <alignment vertical="center"/>
    </xf>
    <xf numFmtId="0" fontId="7" fillId="0" borderId="1" xfId="0" applyFont="1" applyBorder="1">
      <alignment vertical="center"/>
    </xf>
    <xf numFmtId="0" fontId="6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12" fillId="0" borderId="1" xfId="0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0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1" xfId="0" applyFont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1" xfId="0" applyFont="1" applyBorder="1">
      <alignment vertical="center"/>
    </xf>
    <xf numFmtId="0" fontId="27" fillId="4" borderId="0" xfId="0" applyFont="1" applyFill="1">
      <alignment vertical="center"/>
    </xf>
    <xf numFmtId="0" fontId="27" fillId="4" borderId="1" xfId="0" applyFont="1" applyFill="1" applyBorder="1">
      <alignment vertical="center"/>
    </xf>
    <xf numFmtId="0" fontId="19" fillId="4" borderId="1" xfId="0" applyFont="1" applyFill="1" applyBorder="1">
      <alignment vertical="center"/>
    </xf>
    <xf numFmtId="0" fontId="21" fillId="4" borderId="1" xfId="0" applyFont="1" applyFill="1" applyBorder="1" applyAlignment="1">
      <alignment horizontal="center" vertical="center"/>
    </xf>
    <xf numFmtId="0" fontId="19" fillId="0" borderId="1" xfId="0" applyFont="1" applyBorder="1">
      <alignment vertical="center"/>
    </xf>
    <xf numFmtId="0" fontId="17" fillId="0" borderId="1" xfId="0" applyFont="1" applyBorder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31" fillId="0" borderId="1" xfId="0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159667541557304E-2"/>
          <c:y val="2.5428331875182269E-2"/>
          <c:w val="0.90972922134733158"/>
          <c:h val="0.71574876057159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Sheet2!$I$8:$I$62</c:f>
              <c:numCache>
                <c:formatCode>General</c:formatCode>
                <c:ptCount val="55"/>
                <c:pt idx="0">
                  <c:v>-9.5</c:v>
                </c:pt>
                <c:pt idx="1">
                  <c:v>-9</c:v>
                </c:pt>
                <c:pt idx="2">
                  <c:v>-8.5</c:v>
                </c:pt>
                <c:pt idx="3">
                  <c:v>-8</c:v>
                </c:pt>
                <c:pt idx="4">
                  <c:v>-7.5</c:v>
                </c:pt>
                <c:pt idx="5">
                  <c:v>-7</c:v>
                </c:pt>
                <c:pt idx="6">
                  <c:v>-6.5</c:v>
                </c:pt>
                <c:pt idx="7">
                  <c:v>-6</c:v>
                </c:pt>
                <c:pt idx="8">
                  <c:v>-5.5</c:v>
                </c:pt>
                <c:pt idx="9">
                  <c:v>-5</c:v>
                </c:pt>
                <c:pt idx="10">
                  <c:v>-4.5</c:v>
                </c:pt>
                <c:pt idx="11">
                  <c:v>-4</c:v>
                </c:pt>
                <c:pt idx="12">
                  <c:v>-3.5</c:v>
                </c:pt>
                <c:pt idx="13">
                  <c:v>-3</c:v>
                </c:pt>
                <c:pt idx="14">
                  <c:v>-2.5</c:v>
                </c:pt>
                <c:pt idx="15">
                  <c:v>-2</c:v>
                </c:pt>
                <c:pt idx="16">
                  <c:v>-1.5</c:v>
                </c:pt>
                <c:pt idx="17">
                  <c:v>-1</c:v>
                </c:pt>
                <c:pt idx="18">
                  <c:v>-0.5</c:v>
                </c:pt>
                <c:pt idx="19">
                  <c:v>0</c:v>
                </c:pt>
                <c:pt idx="20">
                  <c:v>0.5</c:v>
                </c:pt>
                <c:pt idx="21">
                  <c:v>1</c:v>
                </c:pt>
                <c:pt idx="22">
                  <c:v>1.5</c:v>
                </c:pt>
                <c:pt idx="23">
                  <c:v>2</c:v>
                </c:pt>
                <c:pt idx="24">
                  <c:v>2.5</c:v>
                </c:pt>
                <c:pt idx="25">
                  <c:v>3</c:v>
                </c:pt>
                <c:pt idx="26">
                  <c:v>3.5</c:v>
                </c:pt>
                <c:pt idx="27">
                  <c:v>4</c:v>
                </c:pt>
                <c:pt idx="28">
                  <c:v>4.5</c:v>
                </c:pt>
                <c:pt idx="29">
                  <c:v>5</c:v>
                </c:pt>
                <c:pt idx="30">
                  <c:v>5.5</c:v>
                </c:pt>
                <c:pt idx="31">
                  <c:v>6</c:v>
                </c:pt>
                <c:pt idx="32">
                  <c:v>6.5</c:v>
                </c:pt>
                <c:pt idx="33">
                  <c:v>7</c:v>
                </c:pt>
                <c:pt idx="34">
                  <c:v>7.5</c:v>
                </c:pt>
                <c:pt idx="35">
                  <c:v>8</c:v>
                </c:pt>
                <c:pt idx="36">
                  <c:v>8.5</c:v>
                </c:pt>
                <c:pt idx="37">
                  <c:v>9</c:v>
                </c:pt>
                <c:pt idx="38">
                  <c:v>9.5</c:v>
                </c:pt>
                <c:pt idx="39">
                  <c:v>10</c:v>
                </c:pt>
                <c:pt idx="40">
                  <c:v>10.5</c:v>
                </c:pt>
                <c:pt idx="41">
                  <c:v>11</c:v>
                </c:pt>
                <c:pt idx="42">
                  <c:v>11.5</c:v>
                </c:pt>
                <c:pt idx="43">
                  <c:v>12</c:v>
                </c:pt>
                <c:pt idx="44">
                  <c:v>12.5</c:v>
                </c:pt>
                <c:pt idx="45">
                  <c:v>13</c:v>
                </c:pt>
                <c:pt idx="46">
                  <c:v>13.5</c:v>
                </c:pt>
                <c:pt idx="47">
                  <c:v>14</c:v>
                </c:pt>
                <c:pt idx="48">
                  <c:v>14.5</c:v>
                </c:pt>
                <c:pt idx="49">
                  <c:v>15</c:v>
                </c:pt>
                <c:pt idx="50">
                  <c:v>15.5</c:v>
                </c:pt>
                <c:pt idx="51">
                  <c:v>16</c:v>
                </c:pt>
                <c:pt idx="52">
                  <c:v>16.5</c:v>
                </c:pt>
                <c:pt idx="53">
                  <c:v>17</c:v>
                </c:pt>
                <c:pt idx="54">
                  <c:v>17.5</c:v>
                </c:pt>
              </c:numCache>
            </c:numRef>
          </c:xVal>
          <c:yVal>
            <c:numRef>
              <c:f>Sheet2!$L$8:$L$62</c:f>
              <c:numCache>
                <c:formatCode>General</c:formatCode>
                <c:ptCount val="55"/>
                <c:pt idx="0">
                  <c:v>17.92634484469589</c:v>
                </c:pt>
                <c:pt idx="1">
                  <c:v>17.281802205591436</c:v>
                </c:pt>
                <c:pt idx="2">
                  <c:v>16.672140927726332</c:v>
                </c:pt>
                <c:pt idx="3">
                  <c:v>16.101054480102476</c:v>
                </c:pt>
                <c:pt idx="4">
                  <c:v>15.572444671709107</c:v>
                </c:pt>
                <c:pt idx="5">
                  <c:v>15.090359565187171</c:v>
                </c:pt>
                <c:pt idx="6">
                  <c:v>14.658910531638178</c:v>
                </c:pt>
                <c:pt idx="7">
                  <c:v>14.282170362793455</c:v>
                </c:pt>
                <c:pt idx="8">
                  <c:v>13.964056418534001</c:v>
                </c:pt>
                <c:pt idx="9">
                  <c:v>13.708203932499369</c:v>
                </c:pt>
                <c:pt idx="10">
                  <c:v>13.517834423809099</c:v>
                </c:pt>
                <c:pt idx="11">
                  <c:v>13.395623132202235</c:v>
                </c:pt>
                <c:pt idx="12">
                  <c:v>13.343568970064666</c:v>
                </c:pt>
                <c:pt idx="13">
                  <c:v>13.362872419578737</c:v>
                </c:pt>
                <c:pt idx="14">
                  <c:v>13.4538316630554</c:v>
                </c:pt>
                <c:pt idx="15">
                  <c:v>13.615773105863909</c:v>
                </c:pt>
                <c:pt idx="16">
                  <c:v>13.847035210645412</c:v>
                </c:pt>
                <c:pt idx="17">
                  <c:v>14.145020278596768</c:v>
                </c:pt>
                <c:pt idx="18">
                  <c:v>14.50631692697311</c:v>
                </c:pt>
                <c:pt idx="19">
                  <c:v>14.926880587379387</c:v>
                </c:pt>
                <c:pt idx="20">
                  <c:v>15.402246907382429</c:v>
                </c:pt>
                <c:pt idx="21">
                  <c:v>15.927748389792256</c:v>
                </c:pt>
                <c:pt idx="22">
                  <c:v>16.498708581996301</c:v>
                </c:pt>
                <c:pt idx="23">
                  <c:v>17.110597487539643</c:v>
                </c:pt>
                <c:pt idx="24">
                  <c:v>17.759142264341598</c:v>
                </c:pt>
                <c:pt idx="25">
                  <c:v>18.440395488641304</c:v>
                </c:pt>
                <c:pt idx="26">
                  <c:v>19.150768070822473</c:v>
                </c:pt>
                <c:pt idx="27">
                  <c:v>19.887035625229949</c:v>
                </c:pt>
                <c:pt idx="28">
                  <c:v>20.646326727683011</c:v>
                </c:pt>
                <c:pt idx="29">
                  <c:v>21.426100073026589</c:v>
                </c:pt>
                <c:pt idx="30">
                  <c:v>22.224115820273234</c:v>
                </c:pt>
                <c:pt idx="31">
                  <c:v>23.038404810405297</c:v>
                </c:pt>
                <c:pt idx="32">
                  <c:v>23.867238041178666</c:v>
                </c:pt>
                <c:pt idx="33">
                  <c:v>24.709097815841773</c:v>
                </c:pt>
                <c:pt idx="34">
                  <c:v>25.562651309016516</c:v>
                </c:pt>
                <c:pt idx="35">
                  <c:v>26.426726849924002</c:v>
                </c:pt>
                <c:pt idx="36">
                  <c:v>27.300292948193373</c:v>
                </c:pt>
                <c:pt idx="37">
                  <c:v>28.182439928640196</c:v>
                </c:pt>
                <c:pt idx="38">
                  <c:v>29.072363959177466</c:v>
                </c:pt>
                <c:pt idx="39">
                  <c:v>29.969353222245587</c:v>
                </c:pt>
                <c:pt idx="40">
                  <c:v>30.872775975556998</c:v>
                </c:pt>
                <c:pt idx="41">
                  <c:v>31.782070259849334</c:v>
                </c:pt>
                <c:pt idx="42">
                  <c:v>32.696735031629075</c:v>
                </c:pt>
                <c:pt idx="43">
                  <c:v>33.616322522578052</c:v>
                </c:pt>
                <c:pt idx="44">
                  <c:v>34.540431651445978</c:v>
                </c:pt>
                <c:pt idx="45">
                  <c:v>35.468702337231477</c:v>
                </c:pt>
                <c:pt idx="46">
                  <c:v>36.400810583447139</c:v>
                </c:pt>
                <c:pt idx="47">
                  <c:v>37.336464221951644</c:v>
                </c:pt>
                <c:pt idx="48">
                  <c:v>38.275399221180095</c:v>
                </c:pt>
                <c:pt idx="49">
                  <c:v>39.217376477737034</c:v>
                </c:pt>
                <c:pt idx="50">
                  <c:v>40.162179022434472</c:v>
                </c:pt>
                <c:pt idx="51">
                  <c:v>41.109609582188931</c:v>
                </c:pt>
                <c:pt idx="52">
                  <c:v>42.05948844796675</c:v>
                </c:pt>
                <c:pt idx="53">
                  <c:v>43.011651606401671</c:v>
                </c:pt>
                <c:pt idx="54">
                  <c:v>43.965949098999523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227376"/>
        <c:axId val="386227936"/>
      </c:scatterChart>
      <c:valAx>
        <c:axId val="386227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6227936"/>
        <c:crosses val="autoZero"/>
        <c:crossBetween val="midCat"/>
      </c:valAx>
      <c:valAx>
        <c:axId val="38622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622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3.3159667541557303E-2"/>
          <c:y val="0.19567082535935684"/>
          <c:w val="0.90972922134733158"/>
          <c:h val="0.71574876057159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Sheet3!$G$8:$G$54</c:f>
              <c:numCache>
                <c:formatCode>General</c:formatCode>
                <c:ptCount val="47"/>
                <c:pt idx="0">
                  <c:v>-9.5504999999999995</c:v>
                </c:pt>
                <c:pt idx="1">
                  <c:v>-9</c:v>
                </c:pt>
                <c:pt idx="2">
                  <c:v>-8.5</c:v>
                </c:pt>
                <c:pt idx="3">
                  <c:v>-8</c:v>
                </c:pt>
                <c:pt idx="4">
                  <c:v>-7.5</c:v>
                </c:pt>
                <c:pt idx="5">
                  <c:v>-7</c:v>
                </c:pt>
                <c:pt idx="6">
                  <c:v>-6.5</c:v>
                </c:pt>
                <c:pt idx="7">
                  <c:v>-6</c:v>
                </c:pt>
                <c:pt idx="8">
                  <c:v>-5.5</c:v>
                </c:pt>
                <c:pt idx="9">
                  <c:v>-5</c:v>
                </c:pt>
                <c:pt idx="10">
                  <c:v>-4.5</c:v>
                </c:pt>
                <c:pt idx="11">
                  <c:v>-4</c:v>
                </c:pt>
                <c:pt idx="12">
                  <c:v>-3.5</c:v>
                </c:pt>
                <c:pt idx="13">
                  <c:v>-3</c:v>
                </c:pt>
                <c:pt idx="14">
                  <c:v>-2.5</c:v>
                </c:pt>
                <c:pt idx="15">
                  <c:v>-2</c:v>
                </c:pt>
                <c:pt idx="16">
                  <c:v>-1.5</c:v>
                </c:pt>
                <c:pt idx="17">
                  <c:v>-1</c:v>
                </c:pt>
                <c:pt idx="18">
                  <c:v>-0.5</c:v>
                </c:pt>
                <c:pt idx="19">
                  <c:v>0</c:v>
                </c:pt>
                <c:pt idx="20">
                  <c:v>0.5</c:v>
                </c:pt>
                <c:pt idx="21">
                  <c:v>1</c:v>
                </c:pt>
                <c:pt idx="22">
                  <c:v>1.5</c:v>
                </c:pt>
                <c:pt idx="23">
                  <c:v>2</c:v>
                </c:pt>
                <c:pt idx="24">
                  <c:v>2.5</c:v>
                </c:pt>
                <c:pt idx="25">
                  <c:v>3</c:v>
                </c:pt>
                <c:pt idx="26">
                  <c:v>3.5</c:v>
                </c:pt>
                <c:pt idx="27">
                  <c:v>4</c:v>
                </c:pt>
                <c:pt idx="28">
                  <c:v>4.5</c:v>
                </c:pt>
                <c:pt idx="29">
                  <c:v>5</c:v>
                </c:pt>
                <c:pt idx="30">
                  <c:v>5.5</c:v>
                </c:pt>
                <c:pt idx="31">
                  <c:v>6</c:v>
                </c:pt>
                <c:pt idx="32">
                  <c:v>6.5</c:v>
                </c:pt>
                <c:pt idx="33">
                  <c:v>7</c:v>
                </c:pt>
                <c:pt idx="34">
                  <c:v>7.5</c:v>
                </c:pt>
                <c:pt idx="35">
                  <c:v>8</c:v>
                </c:pt>
                <c:pt idx="36">
                  <c:v>8.5</c:v>
                </c:pt>
                <c:pt idx="37">
                  <c:v>9</c:v>
                </c:pt>
                <c:pt idx="38">
                  <c:v>9.5</c:v>
                </c:pt>
                <c:pt idx="39">
                  <c:v>10</c:v>
                </c:pt>
                <c:pt idx="40">
                  <c:v>10.5</c:v>
                </c:pt>
                <c:pt idx="41">
                  <c:v>11</c:v>
                </c:pt>
                <c:pt idx="42">
                  <c:v>11.5</c:v>
                </c:pt>
                <c:pt idx="43">
                  <c:v>12</c:v>
                </c:pt>
                <c:pt idx="44">
                  <c:v>12.5</c:v>
                </c:pt>
                <c:pt idx="45">
                  <c:v>13</c:v>
                </c:pt>
                <c:pt idx="46">
                  <c:v>13.5</c:v>
                </c:pt>
              </c:numCache>
            </c:numRef>
          </c:xVal>
          <c:yVal>
            <c:numRef>
              <c:f>Sheet3!$J$8:$J$54</c:f>
              <c:numCache>
                <c:formatCode>General</c:formatCode>
                <c:ptCount val="47"/>
                <c:pt idx="0">
                  <c:v>0.64273819445321578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5.424428900898052</c:v>
                </c:pt>
                <c:pt idx="7">
                  <c:v>6.8914391374247561</c:v>
                </c:pt>
                <c:pt idx="8">
                  <c:v>8.0823501022049786</c:v>
                </c:pt>
                <c:pt idx="9">
                  <c:v>9.2031898353665902</c:v>
                </c:pt>
                <c:pt idx="10">
                  <c:v>10.290285558095338</c:v>
                </c:pt>
                <c:pt idx="11">
                  <c:v>11.35743049263785</c:v>
                </c:pt>
                <c:pt idx="12">
                  <c:v>12.411412170708619</c:v>
                </c:pt>
                <c:pt idx="13">
                  <c:v>13.456085561157106</c:v>
                </c:pt>
                <c:pt idx="14">
                  <c:v>14.493852781710235</c:v>
                </c:pt>
                <c:pt idx="15">
                  <c:v>15.526311609677959</c:v>
                </c:pt>
                <c:pt idx="16">
                  <c:v>16.554577698555828</c:v>
                </c:pt>
                <c:pt idx="17">
                  <c:v>17.579459895164653</c:v>
                </c:pt>
                <c:pt idx="18">
                  <c:v>18.601562458450232</c:v>
                </c:pt>
                <c:pt idx="19">
                  <c:v>19.621347998482541</c:v>
                </c:pt>
                <c:pt idx="20">
                  <c:v>20.639177979251368</c:v>
                </c:pt>
                <c:pt idx="21">
                  <c:v>21.655339752119293</c:v>
                </c:pt>
                <c:pt idx="22">
                  <c:v>22.670065161379721</c:v>
                </c:pt>
                <c:pt idx="23">
                  <c:v>23.683543688701889</c:v>
                </c:pt>
                <c:pt idx="24">
                  <c:v>24.69593195129886</c:v>
                </c:pt>
                <c:pt idx="25">
                  <c:v>25.707360701584456</c:v>
                </c:pt>
                <c:pt idx="26">
                  <c:v>26.717940075527295</c:v>
                </c:pt>
                <c:pt idx="27">
                  <c:v>27.727763588654881</c:v>
                </c:pt>
                <c:pt idx="28">
                  <c:v>28.736911220454942</c:v>
                </c:pt>
                <c:pt idx="29">
                  <c:v>29.745451824580808</c:v>
                </c:pt>
                <c:pt idx="30">
                  <c:v>30.753445033261009</c:v>
                </c:pt>
                <c:pt idx="31">
                  <c:v>31.760942777311126</c:v>
                </c:pt>
                <c:pt idx="32">
                  <c:v>32.767990510554057</c:v>
                </c:pt>
                <c:pt idx="33">
                  <c:v>33.774628204484856</c:v>
                </c:pt>
                <c:pt idx="34">
                  <c:v>34.780891162586229</c:v>
                </c:pt>
                <c:pt idx="35">
                  <c:v>35.786810691788432</c:v>
                </c:pt>
                <c:pt idx="36">
                  <c:v>36.792414659821219</c:v>
                </c:pt>
                <c:pt idx="37">
                  <c:v>37.797727960711626</c:v>
                </c:pt>
                <c:pt idx="38">
                  <c:v>38.802772905806236</c:v>
                </c:pt>
                <c:pt idx="39">
                  <c:v>39.807569554001809</c:v>
                </c:pt>
                <c:pt idx="40">
                  <c:v>40.81213599204176</c:v>
                </c:pt>
                <c:pt idx="41">
                  <c:v>41.816488573554963</c:v>
                </c:pt>
                <c:pt idx="42">
                  <c:v>42.820642123817208</c:v>
                </c:pt>
                <c:pt idx="43">
                  <c:v>43.824610115886649</c:v>
                </c:pt>
                <c:pt idx="44">
                  <c:v>44.82840482271537</c:v>
                </c:pt>
                <c:pt idx="45">
                  <c:v>45.832037449006421</c:v>
                </c:pt>
                <c:pt idx="46">
                  <c:v>46.835518245919047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230736"/>
        <c:axId val="386231296"/>
      </c:scatterChart>
      <c:valAx>
        <c:axId val="38623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6231296"/>
        <c:crosses val="autoZero"/>
        <c:crossBetween val="midCat"/>
      </c:valAx>
      <c:valAx>
        <c:axId val="38623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623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1.9514617964421114E-2"/>
          <c:y val="1.7587388590560457E-2"/>
          <c:w val="0.901543963254593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Sheet4!$G$12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Sheet4!$F$13:$F$19</c:f>
              <c:numCache>
                <c:formatCode>General</c:formatCode>
                <c:ptCount val="7"/>
                <c:pt idx="0">
                  <c:v>0</c:v>
                </c:pt>
                <c:pt idx="1">
                  <c:v>-2.8039201772569542</c:v>
                </c:pt>
                <c:pt idx="2">
                  <c:v>-3</c:v>
                </c:pt>
                <c:pt idx="3">
                  <c:v>-2.8039201772569542</c:v>
                </c:pt>
                <c:pt idx="4">
                  <c:v>-7</c:v>
                </c:pt>
                <c:pt idx="5">
                  <c:v>-2.8039201772569542</c:v>
                </c:pt>
                <c:pt idx="6">
                  <c:v>-3</c:v>
                </c:pt>
              </c:numCache>
            </c:numRef>
          </c:xVal>
          <c:yVal>
            <c:numRef>
              <c:f>Sheet4!$G$13:$G$19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234096"/>
        <c:axId val="386234656"/>
      </c:scatterChart>
      <c:valAx>
        <c:axId val="3862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6234656"/>
        <c:crosses val="autoZero"/>
        <c:crossBetween val="midCat"/>
      </c:valAx>
      <c:valAx>
        <c:axId val="38623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6234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12</xdr:row>
          <xdr:rowOff>259080</xdr:rowOff>
        </xdr:from>
        <xdr:to>
          <xdr:col>12</xdr:col>
          <xdr:colOff>1036320</xdr:colOff>
          <xdr:row>14</xdr:row>
          <xdr:rowOff>243840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59436" rIns="82296" bIns="59436" anchor="ctr" upright="1"/>
            <a:lstStyle/>
            <a:p>
              <a:pPr algn="ctr" rtl="0">
                <a:defRPr sz="1000"/>
              </a:pPr>
              <a:r>
                <a:rPr lang="zh-CN" altLang="en-US" sz="3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规划求解最优解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975360</xdr:colOff>
          <xdr:row>7</xdr:row>
          <xdr:rowOff>38100</xdr:rowOff>
        </xdr:from>
        <xdr:to>
          <xdr:col>6</xdr:col>
          <xdr:colOff>60960</xdr:colOff>
          <xdr:row>11</xdr:row>
          <xdr:rowOff>15240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zh-CN" altLang="en-US" sz="2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求平方和最小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8</xdr:row>
          <xdr:rowOff>99060</xdr:rowOff>
        </xdr:from>
        <xdr:to>
          <xdr:col>8</xdr:col>
          <xdr:colOff>182880</xdr:colOff>
          <xdr:row>12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579120</xdr:colOff>
          <xdr:row>0</xdr:row>
          <xdr:rowOff>144780</xdr:rowOff>
        </xdr:from>
        <xdr:to>
          <xdr:col>17</xdr:col>
          <xdr:colOff>0</xdr:colOff>
          <xdr:row>3</xdr:row>
          <xdr:rowOff>213360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9</xdr:row>
          <xdr:rowOff>53340</xdr:rowOff>
        </xdr:from>
        <xdr:to>
          <xdr:col>7</xdr:col>
          <xdr:colOff>213360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规划求解最优解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350520</xdr:colOff>
      <xdr:row>9</xdr:row>
      <xdr:rowOff>163830</xdr:rowOff>
    </xdr:from>
    <xdr:to>
      <xdr:col>20</xdr:col>
      <xdr:colOff>45720</xdr:colOff>
      <xdr:row>19</xdr:row>
      <xdr:rowOff>87630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579120</xdr:colOff>
          <xdr:row>0</xdr:row>
          <xdr:rowOff>144780</xdr:rowOff>
        </xdr:from>
        <xdr:to>
          <xdr:col>15</xdr:col>
          <xdr:colOff>0</xdr:colOff>
          <xdr:row>3</xdr:row>
          <xdr:rowOff>213360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181595</xdr:colOff>
      <xdr:row>12</xdr:row>
      <xdr:rowOff>270643</xdr:rowOff>
    </xdr:from>
    <xdr:to>
      <xdr:col>17</xdr:col>
      <xdr:colOff>486395</xdr:colOff>
      <xdr:row>22</xdr:row>
      <xdr:rowOff>176049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5</xdr:row>
          <xdr:rowOff>281940</xdr:rowOff>
        </xdr:from>
        <xdr:to>
          <xdr:col>17</xdr:col>
          <xdr:colOff>53340</xdr:colOff>
          <xdr:row>8</xdr:row>
          <xdr:rowOff>213360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251460</xdr:colOff>
      <xdr:row>9</xdr:row>
      <xdr:rowOff>106680</xdr:rowOff>
    </xdr:from>
    <xdr:to>
      <xdr:col>19</xdr:col>
      <xdr:colOff>167640</xdr:colOff>
      <xdr:row>27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335280</xdr:colOff>
          <xdr:row>4</xdr:row>
          <xdr:rowOff>198120</xdr:rowOff>
        </xdr:from>
        <xdr:to>
          <xdr:col>21</xdr:col>
          <xdr:colOff>15240</xdr:colOff>
          <xdr:row>7</xdr:row>
          <xdr:rowOff>304800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image" Target="../media/image3.emf"/><Relationship Id="rId4" Type="http://schemas.openxmlformats.org/officeDocument/2006/relationships/oleObject" Target="../embeddings/oleObject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Q23"/>
  <sheetViews>
    <sheetView topLeftCell="B1" workbookViewId="0">
      <selection activeCell="N16" sqref="N16"/>
    </sheetView>
  </sheetViews>
  <sheetFormatPr defaultRowHeight="14.4" x14ac:dyDescent="0.25"/>
  <cols>
    <col min="6" max="6" width="19.33203125" customWidth="1"/>
    <col min="8" max="8" width="19.21875" customWidth="1"/>
    <col min="10" max="10" width="16.77734375" customWidth="1"/>
    <col min="11" max="11" width="18" customWidth="1"/>
    <col min="12" max="12" width="17.44140625" customWidth="1"/>
    <col min="13" max="13" width="25.5546875" customWidth="1"/>
    <col min="14" max="14" width="17.44140625" customWidth="1"/>
    <col min="15" max="15" width="18.6640625" customWidth="1"/>
    <col min="16" max="16" width="10.5546875" customWidth="1"/>
  </cols>
  <sheetData>
    <row r="1" spans="4:17" ht="28.2" x14ac:dyDescent="0.25">
      <c r="D1" s="1"/>
      <c r="E1" s="1"/>
    </row>
    <row r="2" spans="4:17" ht="35.4" x14ac:dyDescent="0.25">
      <c r="D2" s="42" t="s">
        <v>0</v>
      </c>
      <c r="E2" s="42"/>
      <c r="F2" s="42"/>
      <c r="G2" s="42"/>
      <c r="H2" s="3"/>
      <c r="I2" s="3"/>
      <c r="J2" s="10" t="s">
        <v>16</v>
      </c>
      <c r="K2" s="10"/>
      <c r="L2" s="10"/>
      <c r="M2" s="10"/>
      <c r="N2" s="4"/>
      <c r="O2" s="5"/>
      <c r="P2" s="5"/>
      <c r="Q2" t="s">
        <v>1</v>
      </c>
    </row>
    <row r="3" spans="4:17" ht="35.4" x14ac:dyDescent="0.25">
      <c r="D3" s="42" t="s">
        <v>15</v>
      </c>
      <c r="E3" s="42"/>
      <c r="F3" s="42"/>
      <c r="G3" s="42"/>
      <c r="H3" s="3"/>
      <c r="I3" s="3"/>
      <c r="J3" s="10" t="s">
        <v>17</v>
      </c>
      <c r="K3" s="10"/>
      <c r="L3" s="10"/>
      <c r="M3" s="10"/>
      <c r="N3" s="4"/>
      <c r="O3" s="5"/>
      <c r="P3" s="5"/>
    </row>
    <row r="4" spans="4:17" ht="27.6" x14ac:dyDescent="0.25">
      <c r="D4" s="6"/>
      <c r="E4" s="6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4:17" ht="35.4" x14ac:dyDescent="0.25">
      <c r="D5" s="3"/>
      <c r="E5" s="36" t="s">
        <v>12</v>
      </c>
      <c r="F5" s="37"/>
      <c r="G5" s="37"/>
      <c r="H5" s="37"/>
      <c r="I5" s="37"/>
      <c r="J5" s="37"/>
      <c r="K5" s="37"/>
      <c r="L5" s="37"/>
      <c r="M5" s="37"/>
      <c r="N5" s="37"/>
      <c r="O5" s="37"/>
      <c r="P5" s="38"/>
    </row>
    <row r="6" spans="4:17" ht="35.4" x14ac:dyDescent="0.25">
      <c r="D6" s="3"/>
      <c r="E6" s="36" t="s">
        <v>13</v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8"/>
    </row>
    <row r="7" spans="4:17" ht="35.4" x14ac:dyDescent="0.25">
      <c r="D7" s="3"/>
      <c r="E7" s="36" t="s">
        <v>14</v>
      </c>
      <c r="F7" s="37"/>
      <c r="G7" s="37"/>
      <c r="H7" s="37"/>
      <c r="I7" s="37"/>
      <c r="J7" s="37"/>
      <c r="K7" s="37"/>
      <c r="L7" s="37"/>
      <c r="M7" s="37"/>
      <c r="N7" s="37"/>
      <c r="O7" s="37"/>
      <c r="P7" s="38"/>
    </row>
    <row r="8" spans="4:17" ht="35.4" x14ac:dyDescent="0.25">
      <c r="D8" s="3"/>
      <c r="E8" s="39" t="s">
        <v>18</v>
      </c>
      <c r="F8" s="40"/>
      <c r="G8" s="40"/>
      <c r="H8" s="40"/>
      <c r="I8" s="40"/>
      <c r="J8" s="40"/>
      <c r="K8" s="40"/>
      <c r="L8" s="40"/>
      <c r="M8" s="40"/>
      <c r="N8" s="40"/>
      <c r="O8" s="40"/>
      <c r="P8" s="41"/>
    </row>
    <row r="9" spans="4:17" x14ac:dyDescent="0.25"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4:17" ht="30" x14ac:dyDescent="0.25">
      <c r="D10" s="3"/>
      <c r="E10" s="7" t="s">
        <v>2</v>
      </c>
      <c r="F10" s="8" t="s">
        <v>3</v>
      </c>
      <c r="G10" s="8" t="s">
        <v>4</v>
      </c>
      <c r="H10" s="8" t="s">
        <v>5</v>
      </c>
      <c r="I10" s="8" t="s">
        <v>6</v>
      </c>
      <c r="J10" s="8" t="s">
        <v>8</v>
      </c>
      <c r="K10" s="8" t="s">
        <v>9</v>
      </c>
      <c r="L10" s="8" t="s">
        <v>7</v>
      </c>
      <c r="M10" s="8" t="s">
        <v>10</v>
      </c>
      <c r="N10" s="8"/>
      <c r="O10" s="8" t="s">
        <v>11</v>
      </c>
      <c r="P10" s="9"/>
    </row>
    <row r="11" spans="4:17" ht="30" x14ac:dyDescent="0.25">
      <c r="D11" s="3"/>
      <c r="E11" s="7">
        <v>4</v>
      </c>
      <c r="F11" s="8">
        <v>2</v>
      </c>
      <c r="G11" s="8">
        <v>5</v>
      </c>
      <c r="H11" s="8">
        <v>3</v>
      </c>
      <c r="I11" s="8">
        <v>2</v>
      </c>
      <c r="J11" s="8">
        <v>1.1009637060803388</v>
      </c>
      <c r="K11" s="8">
        <v>0.82572294193682061</v>
      </c>
      <c r="L11" s="8">
        <f>H11*J11^2+I11*K11^2</f>
        <v>5.0000000000000595</v>
      </c>
      <c r="M11" s="12">
        <f>E11*J11+F11*K11</f>
        <v>6.0553007081949968</v>
      </c>
      <c r="N11" s="8"/>
      <c r="O11" s="11">
        <f>((E11^2/H11+F11^2/I11)*G11)^0.5</f>
        <v>6.0553007081949835</v>
      </c>
      <c r="P11" s="9"/>
    </row>
    <row r="12" spans="4:17" ht="30" x14ac:dyDescent="0.25">
      <c r="D12" s="3"/>
      <c r="E12" s="7" t="s">
        <v>19</v>
      </c>
      <c r="F12" s="8">
        <f>E11/H11^0.5</f>
        <v>2.3094010767585034</v>
      </c>
      <c r="G12" s="8" t="s">
        <v>20</v>
      </c>
      <c r="H12" s="8">
        <f>F11/I11^0.5</f>
        <v>1.4142135623730949</v>
      </c>
      <c r="I12" s="8" t="s">
        <v>21</v>
      </c>
      <c r="J12" s="8">
        <f>H11^0.5*J11</f>
        <v>1.9069250762204748</v>
      </c>
      <c r="K12" s="8" t="s">
        <v>4</v>
      </c>
      <c r="L12" s="8">
        <f>G11</f>
        <v>5</v>
      </c>
      <c r="M12" s="8" t="s">
        <v>22</v>
      </c>
      <c r="N12" s="8">
        <f>I11^0.5*K11</f>
        <v>1.1677485832496635</v>
      </c>
      <c r="O12" s="8"/>
      <c r="P12" s="9"/>
    </row>
    <row r="13" spans="4:17" ht="30.6" x14ac:dyDescent="0.25"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4:17" ht="30.6" x14ac:dyDescent="0.25"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4:17" ht="30.6" x14ac:dyDescent="0.25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4:17" ht="30.6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5:16" ht="30.6" x14ac:dyDescent="0.25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5:16" ht="30.6" x14ac:dyDescent="0.25"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5:16" ht="30.6" x14ac:dyDescent="0.25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5:16" ht="30.6" x14ac:dyDescent="0.25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5:16" ht="30.6" x14ac:dyDescent="0.25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5:16" ht="30.6" x14ac:dyDescent="0.25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5:16" ht="30.6" x14ac:dyDescent="0.25"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</sheetData>
  <mergeCells count="6">
    <mergeCell ref="E6:P6"/>
    <mergeCell ref="E7:P7"/>
    <mergeCell ref="E8:P8"/>
    <mergeCell ref="D3:G3"/>
    <mergeCell ref="D2:G2"/>
    <mergeCell ref="E5:P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宏1">
                <anchor moveWithCells="1" sizeWithCells="1">
                  <from>
                    <xdr:col>8</xdr:col>
                    <xdr:colOff>30480</xdr:colOff>
                    <xdr:row>12</xdr:row>
                    <xdr:rowOff>259080</xdr:rowOff>
                  </from>
                  <to>
                    <xdr:col>12</xdr:col>
                    <xdr:colOff>1036320</xdr:colOff>
                    <xdr:row>14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N19"/>
  <sheetViews>
    <sheetView workbookViewId="0">
      <selection activeCell="I12" sqref="I12"/>
    </sheetView>
  </sheetViews>
  <sheetFormatPr defaultRowHeight="14.4" x14ac:dyDescent="0.25"/>
  <cols>
    <col min="4" max="5" width="21.33203125" customWidth="1"/>
    <col min="6" max="6" width="23.6640625" customWidth="1"/>
    <col min="12" max="12" width="24.44140625" customWidth="1"/>
  </cols>
  <sheetData>
    <row r="2" spans="1:14" ht="22.2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14" ht="22.2" x14ac:dyDescent="0.25">
      <c r="A3" s="32" t="s">
        <v>2</v>
      </c>
      <c r="B3" s="32" t="s">
        <v>41</v>
      </c>
      <c r="C3" s="32" t="s">
        <v>42</v>
      </c>
      <c r="D3" s="32" t="s">
        <v>8</v>
      </c>
      <c r="E3" s="32" t="s">
        <v>9</v>
      </c>
      <c r="F3" s="32" t="s">
        <v>38</v>
      </c>
      <c r="G3" s="43" t="s">
        <v>39</v>
      </c>
      <c r="H3" s="43"/>
      <c r="I3" s="43"/>
      <c r="J3" s="32" t="s">
        <v>40</v>
      </c>
      <c r="K3" s="33" t="s">
        <v>40</v>
      </c>
      <c r="L3" s="33" t="s">
        <v>43</v>
      </c>
      <c r="M3" s="33"/>
      <c r="N3" s="18"/>
    </row>
    <row r="4" spans="1:14" ht="22.2" x14ac:dyDescent="0.25">
      <c r="A4" s="32">
        <v>2</v>
      </c>
      <c r="B4" s="32">
        <v>3</v>
      </c>
      <c r="C4" s="32">
        <v>4</v>
      </c>
      <c r="D4" s="32">
        <v>0.5</v>
      </c>
      <c r="E4" s="32">
        <v>0</v>
      </c>
      <c r="F4" s="32">
        <v>0</v>
      </c>
      <c r="G4" s="32"/>
      <c r="H4" s="32"/>
      <c r="I4" s="32"/>
      <c r="J4" s="32">
        <f>A4*D4+B4*E4+C4*F4</f>
        <v>1</v>
      </c>
      <c r="K4" s="33">
        <v>1</v>
      </c>
      <c r="L4" s="33">
        <f>D4^2+E4^2+F4^2</f>
        <v>0.25</v>
      </c>
      <c r="M4" s="33"/>
      <c r="N4" s="18"/>
    </row>
    <row r="5" spans="1:14" ht="22.2" x14ac:dyDescent="0.25">
      <c r="B5" s="13"/>
      <c r="C5" s="13"/>
      <c r="D5" s="13"/>
      <c r="E5" s="33">
        <f>E4/D4</f>
        <v>0</v>
      </c>
      <c r="F5" s="33">
        <f>F4/D4</f>
        <v>0</v>
      </c>
      <c r="G5" s="13"/>
      <c r="H5" s="13"/>
      <c r="I5" s="13"/>
      <c r="J5" s="13"/>
      <c r="K5" s="13"/>
      <c r="L5" s="13"/>
      <c r="M5" s="13"/>
      <c r="N5" s="13"/>
    </row>
    <row r="6" spans="1:14" ht="22.2" x14ac:dyDescent="0.25"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</row>
    <row r="7" spans="1:14" ht="22.2" x14ac:dyDescent="0.25"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</row>
    <row r="8" spans="1:14" ht="22.2" x14ac:dyDescent="0.25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1:14" ht="22.2" x14ac:dyDescent="0.2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14" ht="22.2" x14ac:dyDescent="0.25"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14" ht="22.2" x14ac:dyDescent="0.25"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14" ht="22.2" x14ac:dyDescent="0.25"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14" ht="22.2" x14ac:dyDescent="0.25"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14" ht="22.2" x14ac:dyDescent="0.25"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14" ht="22.2" x14ac:dyDescent="0.25"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4" ht="22.2" x14ac:dyDescent="0.25"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</row>
    <row r="17" spans="2:14" ht="22.2" x14ac:dyDescent="0.25"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</row>
    <row r="18" spans="2:14" ht="22.2" x14ac:dyDescent="0.25"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</row>
    <row r="19" spans="2:14" ht="22.2" x14ac:dyDescent="0.25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</row>
  </sheetData>
  <mergeCells count="1">
    <mergeCell ref="G3:I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宏4">
                <anchor moveWithCells="1" sizeWithCells="1">
                  <from>
                    <xdr:col>3</xdr:col>
                    <xdr:colOff>975360</xdr:colOff>
                    <xdr:row>7</xdr:row>
                    <xdr:rowOff>38100</xdr:rowOff>
                  </from>
                  <to>
                    <xdr:col>6</xdr:col>
                    <xdr:colOff>60960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N11"/>
  <sheetViews>
    <sheetView workbookViewId="0">
      <selection activeCell="F24" sqref="F24"/>
    </sheetView>
  </sheetViews>
  <sheetFormatPr defaultRowHeight="14.4" x14ac:dyDescent="0.25"/>
  <cols>
    <col min="4" max="4" width="15.33203125" customWidth="1"/>
    <col min="5" max="5" width="14.5546875" customWidth="1"/>
    <col min="11" max="11" width="14.88671875" customWidth="1"/>
  </cols>
  <sheetData>
    <row r="2" spans="2:14" ht="22.2" x14ac:dyDescent="0.25"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2:14" ht="22.2" x14ac:dyDescent="0.25">
      <c r="B3" s="33" t="s">
        <v>2</v>
      </c>
      <c r="C3" s="33" t="s">
        <v>41</v>
      </c>
      <c r="D3" s="33" t="s">
        <v>8</v>
      </c>
      <c r="E3" s="33" t="s">
        <v>9</v>
      </c>
      <c r="F3" s="44" t="s">
        <v>44</v>
      </c>
      <c r="G3" s="44"/>
      <c r="H3" s="44"/>
      <c r="I3" s="33" t="s">
        <v>45</v>
      </c>
      <c r="J3" s="33"/>
      <c r="K3" s="33" t="s">
        <v>46</v>
      </c>
      <c r="L3" s="13"/>
      <c r="M3" s="13"/>
      <c r="N3" s="13"/>
    </row>
    <row r="4" spans="2:14" ht="22.2" x14ac:dyDescent="0.25">
      <c r="B4" s="33">
        <v>1</v>
      </c>
      <c r="C4" s="33">
        <v>1</v>
      </c>
      <c r="D4" s="33">
        <v>1213</v>
      </c>
      <c r="E4" s="33">
        <v>1.01</v>
      </c>
      <c r="F4" s="44">
        <f>B4/D4^2+C4/E4</f>
        <v>0.99009968954015604</v>
      </c>
      <c r="G4" s="44"/>
      <c r="H4" s="44"/>
      <c r="I4" s="33">
        <v>1</v>
      </c>
      <c r="J4" s="33"/>
      <c r="K4" s="33">
        <f>D4+E4</f>
        <v>1214.01</v>
      </c>
      <c r="L4" s="13"/>
      <c r="M4" s="13"/>
      <c r="N4" s="13"/>
    </row>
    <row r="5" spans="2:14" ht="22.2" x14ac:dyDescent="0.25">
      <c r="B5" s="33"/>
      <c r="C5" s="33"/>
      <c r="D5" s="33"/>
      <c r="E5" s="33">
        <f>E4/D4</f>
        <v>8.3264633140972793E-4</v>
      </c>
      <c r="F5" s="33"/>
      <c r="G5" s="33"/>
      <c r="H5" s="33"/>
      <c r="I5" s="33"/>
      <c r="J5" s="33"/>
      <c r="K5" s="33"/>
      <c r="L5" s="13"/>
      <c r="M5" s="13"/>
      <c r="N5" s="13"/>
    </row>
    <row r="6" spans="2:14" ht="22.2" x14ac:dyDescent="0.25"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</row>
    <row r="7" spans="2:14" ht="22.2" x14ac:dyDescent="0.25"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</row>
    <row r="8" spans="2:14" ht="22.2" x14ac:dyDescent="0.25"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2:14" ht="22.2" x14ac:dyDescent="0.25"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2:14" ht="22.2" x14ac:dyDescent="0.25"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2:14" ht="22.2" x14ac:dyDescent="0.25"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</sheetData>
  <mergeCells count="2">
    <mergeCell ref="F3:H3"/>
    <mergeCell ref="F4:H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宏5">
                <anchor moveWithCells="1" sizeWithCells="1">
                  <from>
                    <xdr:col>4</xdr:col>
                    <xdr:colOff>167640</xdr:colOff>
                    <xdr:row>8</xdr:row>
                    <xdr:rowOff>99060</xdr:rowOff>
                  </from>
                  <to>
                    <xdr:col>8</xdr:col>
                    <xdr:colOff>182880</xdr:colOff>
                    <xdr:row>12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M21"/>
  <sheetViews>
    <sheetView workbookViewId="0">
      <selection activeCell="M5" sqref="M5"/>
    </sheetView>
  </sheetViews>
  <sheetFormatPr defaultRowHeight="14.4" x14ac:dyDescent="0.25"/>
  <cols>
    <col min="5" max="5" width="20.5546875" customWidth="1"/>
    <col min="6" max="6" width="17.109375" customWidth="1"/>
    <col min="7" max="7" width="29.33203125" customWidth="1"/>
    <col min="8" max="8" width="28.5546875" customWidth="1"/>
    <col min="12" max="12" width="21.88671875" bestFit="1" customWidth="1"/>
    <col min="13" max="13" width="24" bestFit="1" customWidth="1"/>
  </cols>
  <sheetData>
    <row r="1" spans="3:13" ht="25.8" x14ac:dyDescent="0.25"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3:13" ht="28.2" x14ac:dyDescent="0.25">
      <c r="C2" s="16"/>
      <c r="D2" s="16"/>
      <c r="E2" s="34" t="s">
        <v>8</v>
      </c>
      <c r="F2" s="35" t="s">
        <v>47</v>
      </c>
      <c r="G2" s="35" t="s">
        <v>48</v>
      </c>
      <c r="H2" s="35" t="s">
        <v>49</v>
      </c>
      <c r="I2" s="30" t="s">
        <v>50</v>
      </c>
      <c r="J2" s="16"/>
      <c r="K2" s="16"/>
      <c r="L2" s="16" t="s">
        <v>51</v>
      </c>
      <c r="M2" s="16" t="s">
        <v>52</v>
      </c>
    </row>
    <row r="3" spans="3:13" ht="28.2" x14ac:dyDescent="0.25">
      <c r="C3" s="16"/>
      <c r="D3" s="16"/>
      <c r="E3" s="35">
        <v>1</v>
      </c>
      <c r="F3" s="35">
        <v>2</v>
      </c>
      <c r="G3" s="35">
        <f>E3^F3</f>
        <v>1</v>
      </c>
      <c r="H3" s="35">
        <f>F3^E3</f>
        <v>2</v>
      </c>
      <c r="I3" s="30">
        <f>G3/H3</f>
        <v>0.5</v>
      </c>
      <c r="J3" s="16"/>
      <c r="K3" s="16"/>
      <c r="L3" s="16">
        <f>2^31</f>
        <v>2147483648</v>
      </c>
      <c r="M3" s="16">
        <f>3^21</f>
        <v>10460353203</v>
      </c>
    </row>
    <row r="4" spans="3:13" ht="28.2" x14ac:dyDescent="0.25">
      <c r="C4" s="16"/>
      <c r="D4" s="16"/>
      <c r="E4" s="16">
        <v>2</v>
      </c>
      <c r="F4" s="16">
        <v>3</v>
      </c>
      <c r="G4" s="35">
        <f t="shared" ref="G4:G16" si="0">E4^F4</f>
        <v>8</v>
      </c>
      <c r="H4" s="35">
        <f t="shared" ref="H4:H16" si="1">F4^E4</f>
        <v>9</v>
      </c>
      <c r="I4" s="30">
        <f t="shared" ref="I4:I16" si="2">G4/H4</f>
        <v>0.88888888888888884</v>
      </c>
      <c r="J4" s="16"/>
      <c r="K4" s="16"/>
      <c r="L4" s="16"/>
      <c r="M4" s="16">
        <f>L3/M3</f>
        <v>0.20529743177162582</v>
      </c>
    </row>
    <row r="5" spans="3:13" ht="28.2" x14ac:dyDescent="0.25">
      <c r="C5" s="16"/>
      <c r="D5" s="16"/>
      <c r="E5" s="16">
        <v>3</v>
      </c>
      <c r="F5" s="35">
        <v>4</v>
      </c>
      <c r="G5" s="35">
        <f t="shared" si="0"/>
        <v>81</v>
      </c>
      <c r="H5" s="35">
        <f t="shared" si="1"/>
        <v>64</v>
      </c>
      <c r="I5" s="30">
        <f t="shared" si="2"/>
        <v>1.265625</v>
      </c>
      <c r="J5" s="16"/>
      <c r="K5" s="16"/>
      <c r="L5" s="16"/>
      <c r="M5" s="16"/>
    </row>
    <row r="6" spans="3:13" ht="28.2" x14ac:dyDescent="0.25">
      <c r="C6" s="16"/>
      <c r="D6" s="16"/>
      <c r="E6" s="16">
        <v>4</v>
      </c>
      <c r="F6" s="16">
        <v>5</v>
      </c>
      <c r="G6" s="35">
        <f t="shared" si="0"/>
        <v>1024</v>
      </c>
      <c r="H6" s="35">
        <f t="shared" si="1"/>
        <v>625</v>
      </c>
      <c r="I6" s="30">
        <f t="shared" si="2"/>
        <v>1.6384000000000001</v>
      </c>
      <c r="J6" s="16"/>
      <c r="K6" s="16"/>
      <c r="L6" s="16"/>
      <c r="M6" s="16"/>
    </row>
    <row r="7" spans="3:13" ht="28.2" x14ac:dyDescent="0.25">
      <c r="C7" s="16"/>
      <c r="D7" s="16"/>
      <c r="E7" s="16">
        <v>5</v>
      </c>
      <c r="F7" s="35">
        <v>6</v>
      </c>
      <c r="G7" s="35">
        <f t="shared" si="0"/>
        <v>15625</v>
      </c>
      <c r="H7" s="35">
        <f t="shared" si="1"/>
        <v>7776</v>
      </c>
      <c r="I7" s="30">
        <f t="shared" si="2"/>
        <v>2.0093878600823047</v>
      </c>
      <c r="J7" s="16"/>
      <c r="K7" s="16"/>
      <c r="L7" s="16"/>
      <c r="M7" s="16"/>
    </row>
    <row r="8" spans="3:13" ht="28.2" x14ac:dyDescent="0.25">
      <c r="C8" s="16"/>
      <c r="D8" s="16"/>
      <c r="E8" s="16">
        <v>6</v>
      </c>
      <c r="F8" s="16">
        <v>7</v>
      </c>
      <c r="G8" s="35">
        <f t="shared" si="0"/>
        <v>279936</v>
      </c>
      <c r="H8" s="35">
        <f t="shared" si="1"/>
        <v>117649</v>
      </c>
      <c r="I8" s="30">
        <f t="shared" si="2"/>
        <v>2.3794167396237964</v>
      </c>
      <c r="J8" s="16"/>
      <c r="K8" s="16"/>
      <c r="L8" s="16"/>
      <c r="M8" s="16"/>
    </row>
    <row r="9" spans="3:13" ht="28.2" x14ac:dyDescent="0.25">
      <c r="C9" s="16"/>
      <c r="D9" s="16"/>
      <c r="E9" s="16">
        <v>7</v>
      </c>
      <c r="F9" s="35">
        <v>8</v>
      </c>
      <c r="G9" s="35">
        <f t="shared" si="0"/>
        <v>5764801</v>
      </c>
      <c r="H9" s="35">
        <f t="shared" si="1"/>
        <v>2097152</v>
      </c>
      <c r="I9" s="30">
        <f t="shared" si="2"/>
        <v>2.7488713264465332</v>
      </c>
      <c r="J9" s="16"/>
      <c r="K9" s="16"/>
      <c r="L9" s="16"/>
      <c r="M9" s="16"/>
    </row>
    <row r="10" spans="3:13" ht="28.2" x14ac:dyDescent="0.25">
      <c r="C10" s="16"/>
      <c r="D10" s="16"/>
      <c r="E10" s="16">
        <v>8</v>
      </c>
      <c r="F10" s="16">
        <v>9</v>
      </c>
      <c r="G10" s="35">
        <f t="shared" si="0"/>
        <v>134217728</v>
      </c>
      <c r="H10" s="35">
        <f t="shared" si="1"/>
        <v>43046721</v>
      </c>
      <c r="I10" s="30">
        <f t="shared" si="2"/>
        <v>3.1179547450315668</v>
      </c>
      <c r="J10" s="16"/>
      <c r="K10" s="16"/>
      <c r="L10" s="16"/>
      <c r="M10" s="16"/>
    </row>
    <row r="11" spans="3:13" ht="28.2" x14ac:dyDescent="0.25">
      <c r="C11" s="16"/>
      <c r="D11" s="16"/>
      <c r="E11" s="16">
        <v>9</v>
      </c>
      <c r="F11" s="35">
        <v>10</v>
      </c>
      <c r="G11" s="35">
        <f t="shared" si="0"/>
        <v>3486784401</v>
      </c>
      <c r="H11" s="35">
        <f t="shared" si="1"/>
        <v>1000000000</v>
      </c>
      <c r="I11" s="30">
        <f t="shared" si="2"/>
        <v>3.486784401</v>
      </c>
      <c r="J11" s="16"/>
      <c r="K11" s="16"/>
      <c r="L11" s="16"/>
      <c r="M11" s="16"/>
    </row>
    <row r="12" spans="3:13" ht="28.2" x14ac:dyDescent="0.25">
      <c r="C12" s="16"/>
      <c r="D12" s="16"/>
      <c r="E12" s="16">
        <v>10</v>
      </c>
      <c r="F12" s="16">
        <v>11</v>
      </c>
      <c r="G12" s="35">
        <f t="shared" si="0"/>
        <v>100000000000</v>
      </c>
      <c r="H12" s="35">
        <f t="shared" si="1"/>
        <v>25937424601</v>
      </c>
      <c r="I12" s="30">
        <f t="shared" si="2"/>
        <v>3.8554328942953173</v>
      </c>
      <c r="J12" s="16"/>
      <c r="K12" s="16"/>
      <c r="L12" s="16"/>
      <c r="M12" s="16"/>
    </row>
    <row r="13" spans="3:13" ht="28.2" x14ac:dyDescent="0.25">
      <c r="C13" s="16"/>
      <c r="D13" s="16"/>
      <c r="E13" s="16">
        <v>11</v>
      </c>
      <c r="F13" s="35">
        <v>12</v>
      </c>
      <c r="G13" s="35">
        <f t="shared" si="0"/>
        <v>3138428376721</v>
      </c>
      <c r="H13" s="35">
        <f t="shared" si="1"/>
        <v>743008370688</v>
      </c>
      <c r="I13" s="30">
        <f t="shared" si="2"/>
        <v>4.2239475361696455</v>
      </c>
      <c r="J13" s="16"/>
      <c r="K13" s="16"/>
      <c r="L13" s="16"/>
      <c r="M13" s="16"/>
    </row>
    <row r="14" spans="3:13" ht="28.2" x14ac:dyDescent="0.25">
      <c r="C14" s="16"/>
      <c r="D14" s="16"/>
      <c r="E14" s="16">
        <v>12</v>
      </c>
      <c r="F14" s="16">
        <v>13</v>
      </c>
      <c r="G14" s="35">
        <f t="shared" si="0"/>
        <v>106993205379072</v>
      </c>
      <c r="H14" s="35">
        <f t="shared" si="1"/>
        <v>23298085122481</v>
      </c>
      <c r="I14" s="30">
        <f t="shared" si="2"/>
        <v>4.5923604801250875</v>
      </c>
      <c r="J14" s="16"/>
      <c r="K14" s="16"/>
      <c r="L14" s="16"/>
      <c r="M14" s="16"/>
    </row>
    <row r="15" spans="3:13" ht="28.2" x14ac:dyDescent="0.25">
      <c r="C15" s="16"/>
      <c r="D15" s="16"/>
      <c r="E15" s="16">
        <v>13</v>
      </c>
      <c r="F15" s="35">
        <v>14</v>
      </c>
      <c r="G15" s="35">
        <f t="shared" si="0"/>
        <v>3937376385699289</v>
      </c>
      <c r="H15" s="35">
        <f t="shared" si="1"/>
        <v>793714773254144</v>
      </c>
      <c r="I15" s="30">
        <f t="shared" si="2"/>
        <v>4.9606943430780248</v>
      </c>
      <c r="J15" s="16"/>
      <c r="K15" s="16"/>
      <c r="L15" s="16"/>
      <c r="M15" s="16"/>
    </row>
    <row r="16" spans="3:13" ht="28.2" x14ac:dyDescent="0.25">
      <c r="C16" s="16"/>
      <c r="D16" s="16"/>
      <c r="E16" s="16">
        <v>14</v>
      </c>
      <c r="F16" s="16">
        <v>15</v>
      </c>
      <c r="G16" s="35">
        <f t="shared" si="0"/>
        <v>1.5556809555781222E+17</v>
      </c>
      <c r="H16" s="35">
        <f t="shared" si="1"/>
        <v>2.9192926025390624E+16</v>
      </c>
      <c r="I16" s="30">
        <f t="shared" si="2"/>
        <v>5.3289654974121632</v>
      </c>
      <c r="J16" s="16"/>
      <c r="K16" s="16"/>
      <c r="L16" s="16"/>
      <c r="M16" s="16"/>
    </row>
    <row r="17" spans="3:13" ht="28.2" x14ac:dyDescent="0.25">
      <c r="C17" s="16"/>
      <c r="D17" s="16"/>
      <c r="E17" s="16">
        <v>15</v>
      </c>
      <c r="F17" s="35">
        <v>16</v>
      </c>
      <c r="G17" s="35">
        <f>E17^F17</f>
        <v>6.5684083557128909E+18</v>
      </c>
      <c r="H17" s="35">
        <f>F17^E17</f>
        <v>1.152921504606847E+18</v>
      </c>
      <c r="I17" s="30">
        <f>G17/H17</f>
        <v>5.697186087228685</v>
      </c>
      <c r="J17" s="16"/>
      <c r="K17" s="16"/>
      <c r="L17" s="16"/>
      <c r="M17" s="16"/>
    </row>
    <row r="18" spans="3:13" ht="28.2" x14ac:dyDescent="0.25">
      <c r="E18" s="16">
        <v>16</v>
      </c>
      <c r="F18" s="16">
        <v>17</v>
      </c>
      <c r="G18" s="35">
        <f t="shared" ref="G18:G21" si="3">E18^F18</f>
        <v>2.9514790517935283E+20</v>
      </c>
      <c r="H18" s="35">
        <f t="shared" ref="H18:H21" si="4">F18^E18</f>
        <v>4.866119187566687E+19</v>
      </c>
      <c r="I18" s="30">
        <f t="shared" ref="I18:I21" si="5">G18/H18</f>
        <v>6.0653653106869774</v>
      </c>
    </row>
    <row r="19" spans="3:13" ht="28.2" x14ac:dyDescent="0.25">
      <c r="E19" s="16">
        <v>17</v>
      </c>
      <c r="F19" s="35">
        <v>18</v>
      </c>
      <c r="G19" s="35">
        <f t="shared" si="3"/>
        <v>1.4063084452067724E+22</v>
      </c>
      <c r="H19" s="35">
        <f t="shared" si="4"/>
        <v>2.1859115597386964E+21</v>
      </c>
      <c r="I19" s="30">
        <f t="shared" si="5"/>
        <v>6.433510262303944</v>
      </c>
    </row>
    <row r="20" spans="3:13" ht="28.2" x14ac:dyDescent="0.25">
      <c r="E20" s="16">
        <v>18</v>
      </c>
      <c r="F20" s="16">
        <v>19</v>
      </c>
      <c r="G20" s="35">
        <f t="shared" si="3"/>
        <v>7.0823534535533763E+23</v>
      </c>
      <c r="H20" s="35">
        <f t="shared" si="4"/>
        <v>1.0412735029791125E+23</v>
      </c>
      <c r="I20" s="30">
        <f t="shared" si="5"/>
        <v>6.8016265018658073</v>
      </c>
    </row>
    <row r="21" spans="3:13" ht="28.2" x14ac:dyDescent="0.25">
      <c r="E21" s="16">
        <v>19</v>
      </c>
      <c r="F21" s="35">
        <v>20</v>
      </c>
      <c r="G21" s="35">
        <f t="shared" si="3"/>
        <v>3.758997345754596E+25</v>
      </c>
      <c r="H21" s="35">
        <f t="shared" si="4"/>
        <v>5.24288E+24</v>
      </c>
      <c r="I21" s="30">
        <f t="shared" si="5"/>
        <v>7.1697184481708449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63"/>
  <sheetViews>
    <sheetView zoomScaleNormal="100" workbookViewId="0">
      <selection activeCell="O8" sqref="O8:S8"/>
    </sheetView>
  </sheetViews>
  <sheetFormatPr defaultRowHeight="14.4" x14ac:dyDescent="0.25"/>
  <cols>
    <col min="9" max="9" width="20.6640625" customWidth="1"/>
    <col min="12" max="12" width="15.6640625" customWidth="1"/>
  </cols>
  <sheetData>
    <row r="1" spans="1:42" ht="22.2" x14ac:dyDescent="0.25">
      <c r="A1" s="13"/>
      <c r="B1" s="13"/>
      <c r="C1" s="13"/>
      <c r="D1" s="13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</row>
    <row r="2" spans="1:42" ht="22.2" x14ac:dyDescent="0.25">
      <c r="A2" s="13"/>
      <c r="B2" s="13"/>
      <c r="C2" s="13"/>
      <c r="D2" s="13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spans="1:42" ht="22.2" x14ac:dyDescent="0.25">
      <c r="A3" s="13"/>
      <c r="B3" s="13"/>
      <c r="C3" s="13"/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ht="22.2" x14ac:dyDescent="0.25">
      <c r="A4" s="13"/>
      <c r="B4" s="13"/>
      <c r="C4" s="13"/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</row>
    <row r="5" spans="1:42" ht="22.2" x14ac:dyDescent="0.25">
      <c r="A5" s="13"/>
      <c r="B5" s="13"/>
      <c r="C5" s="13"/>
      <c r="D5" s="13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</row>
    <row r="6" spans="1:42" ht="36.6" x14ac:dyDescent="0.25">
      <c r="A6" s="13"/>
      <c r="B6" s="13"/>
      <c r="C6" s="13"/>
      <c r="D6" s="13"/>
      <c r="E6" s="21" t="s">
        <v>2</v>
      </c>
      <c r="F6" s="21" t="s">
        <v>23</v>
      </c>
      <c r="G6" s="21" t="s">
        <v>4</v>
      </c>
      <c r="H6" s="21" t="s">
        <v>24</v>
      </c>
      <c r="I6" s="20" t="s">
        <v>8</v>
      </c>
      <c r="J6" s="19" t="s">
        <v>28</v>
      </c>
      <c r="K6" s="19" t="s">
        <v>29</v>
      </c>
      <c r="L6" s="19" t="s">
        <v>27</v>
      </c>
      <c r="M6" s="17"/>
      <c r="N6" s="47" t="s">
        <v>31</v>
      </c>
      <c r="O6" s="48"/>
      <c r="P6" s="45" t="s">
        <v>30</v>
      </c>
      <c r="Q6" s="45"/>
      <c r="R6" s="45"/>
      <c r="S6" s="45"/>
      <c r="T6" s="14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</row>
    <row r="7" spans="1:42" ht="25.8" x14ac:dyDescent="0.25">
      <c r="A7" s="13"/>
      <c r="B7" s="13"/>
      <c r="C7" s="13"/>
      <c r="D7" s="13"/>
      <c r="E7" s="22">
        <v>2</v>
      </c>
      <c r="F7" s="22">
        <v>6</v>
      </c>
      <c r="G7" s="22">
        <v>-5</v>
      </c>
      <c r="H7" s="23">
        <v>7</v>
      </c>
      <c r="I7" s="20">
        <v>-3.3846155005703702</v>
      </c>
      <c r="J7" s="19">
        <f>((I7+$E$7)^2+$F$7^2)^0.5</f>
        <v>6.1576911325934276</v>
      </c>
      <c r="K7" s="19">
        <f>(($G$7-I7)^2+$H$7^2)^0.5</f>
        <v>7.1839729315329075</v>
      </c>
      <c r="L7" s="19">
        <f>J7+K7</f>
        <v>13.341664064126334</v>
      </c>
      <c r="M7" s="17"/>
      <c r="N7" s="48"/>
      <c r="O7" s="48"/>
      <c r="P7" s="46">
        <f>(F7*G7-H7*E7)/(F7+H7)</f>
        <v>-3.3846153846153846</v>
      </c>
      <c r="Q7" s="46"/>
      <c r="R7" s="46"/>
      <c r="S7" s="46"/>
      <c r="T7" s="14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</row>
    <row r="8" spans="1:42" ht="22.2" x14ac:dyDescent="0.25">
      <c r="A8" s="13"/>
      <c r="B8" s="13"/>
      <c r="C8" s="13"/>
      <c r="D8" s="13"/>
      <c r="E8" s="17"/>
      <c r="F8" s="17"/>
      <c r="G8" s="17"/>
      <c r="H8" s="17"/>
      <c r="I8" s="19">
        <v>-9.5</v>
      </c>
      <c r="J8" s="19">
        <f t="shared" ref="J8:J62" si="0">((I8+$E$7)^2+$F$7^2)^0.5</f>
        <v>9.6046863561492728</v>
      </c>
      <c r="K8" s="19">
        <f t="shared" ref="K8:K23" si="1">(($G$7-I8)^2+$H$7^2)^0.5</f>
        <v>8.3216584885466194</v>
      </c>
      <c r="L8" s="19">
        <f t="shared" ref="L8:L23" si="2">J8+K8</f>
        <v>17.92634484469589</v>
      </c>
      <c r="M8" s="17"/>
      <c r="N8" s="15"/>
      <c r="O8" s="49" t="s">
        <v>53</v>
      </c>
      <c r="P8" s="49"/>
      <c r="Q8" s="49"/>
      <c r="R8" s="49"/>
      <c r="S8" s="49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</row>
    <row r="9" spans="1:42" ht="22.2" x14ac:dyDescent="0.25">
      <c r="A9" s="13"/>
      <c r="B9" s="13"/>
      <c r="C9" s="13"/>
      <c r="D9" s="13"/>
      <c r="E9" s="17"/>
      <c r="F9" s="17"/>
      <c r="G9" s="17"/>
      <c r="H9" s="17"/>
      <c r="I9" s="19">
        <v>-9</v>
      </c>
      <c r="J9" s="19">
        <f t="shared" si="0"/>
        <v>9.2195444572928871</v>
      </c>
      <c r="K9" s="19">
        <f t="shared" si="1"/>
        <v>8.0622577482985491</v>
      </c>
      <c r="L9" s="19">
        <f t="shared" si="2"/>
        <v>17.281802205591436</v>
      </c>
      <c r="M9" s="17"/>
      <c r="N9" s="15"/>
      <c r="O9" s="49">
        <f>((F7+H7)^2+(E7+G7)^2)^0.5</f>
        <v>13.341664064126334</v>
      </c>
      <c r="P9" s="49"/>
      <c r="Q9" s="49"/>
      <c r="R9" s="49"/>
      <c r="S9" s="49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</row>
    <row r="10" spans="1:42" ht="22.2" x14ac:dyDescent="0.25">
      <c r="A10" s="13"/>
      <c r="B10" s="13"/>
      <c r="C10" s="13"/>
      <c r="D10" s="13"/>
      <c r="E10" s="17"/>
      <c r="F10" s="17"/>
      <c r="G10" s="17"/>
      <c r="H10" s="17"/>
      <c r="I10" s="19">
        <v>-8.5</v>
      </c>
      <c r="J10" s="19">
        <f t="shared" si="0"/>
        <v>8.8459030064770658</v>
      </c>
      <c r="K10" s="19">
        <f t="shared" si="1"/>
        <v>7.8262379212492643</v>
      </c>
      <c r="L10" s="19">
        <f t="shared" si="2"/>
        <v>16.672140927726332</v>
      </c>
      <c r="M10" s="17"/>
      <c r="N10" s="15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</row>
    <row r="11" spans="1:42" ht="22.2" x14ac:dyDescent="0.25">
      <c r="A11" s="13"/>
      <c r="B11" s="13"/>
      <c r="C11" s="13"/>
      <c r="D11" s="13"/>
      <c r="E11" s="17"/>
      <c r="F11" s="17"/>
      <c r="G11" s="17"/>
      <c r="H11" s="17"/>
      <c r="I11" s="19">
        <v>-8</v>
      </c>
      <c r="J11" s="19">
        <f t="shared" si="0"/>
        <v>8.4852813742385695</v>
      </c>
      <c r="K11" s="19">
        <f t="shared" si="1"/>
        <v>7.6157731058639087</v>
      </c>
      <c r="L11" s="19">
        <f t="shared" si="2"/>
        <v>16.101054480102476</v>
      </c>
      <c r="M11" s="17"/>
      <c r="N11" s="15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</row>
    <row r="12" spans="1:42" ht="22.2" x14ac:dyDescent="0.25">
      <c r="A12" s="13"/>
      <c r="B12" s="13"/>
      <c r="C12" s="13"/>
      <c r="D12" s="13"/>
      <c r="E12" s="17"/>
      <c r="F12" s="17"/>
      <c r="G12" s="17"/>
      <c r="H12" s="17"/>
      <c r="I12" s="19">
        <v>-7.5</v>
      </c>
      <c r="J12" s="19">
        <f t="shared" si="0"/>
        <v>8.1394102980498531</v>
      </c>
      <c r="K12" s="19">
        <f t="shared" si="1"/>
        <v>7.433034373659253</v>
      </c>
      <c r="L12" s="19">
        <f t="shared" si="2"/>
        <v>15.572444671709107</v>
      </c>
      <c r="M12" s="17"/>
      <c r="N12" s="15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</row>
    <row r="13" spans="1:42" ht="22.2" x14ac:dyDescent="0.25">
      <c r="A13" s="13"/>
      <c r="B13" s="13"/>
      <c r="C13" s="13"/>
      <c r="D13" s="13"/>
      <c r="E13" s="18"/>
      <c r="F13" s="18"/>
      <c r="G13" s="18"/>
      <c r="H13" s="18"/>
      <c r="I13" s="19">
        <v>-7</v>
      </c>
      <c r="J13" s="19">
        <f t="shared" si="0"/>
        <v>7.810249675906654</v>
      </c>
      <c r="K13" s="19">
        <f t="shared" si="1"/>
        <v>7.2801098892805181</v>
      </c>
      <c r="L13" s="19">
        <f t="shared" si="2"/>
        <v>15.090359565187171</v>
      </c>
      <c r="M13" s="18"/>
      <c r="N13" s="15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</row>
    <row r="14" spans="1:42" ht="22.2" x14ac:dyDescent="0.25">
      <c r="A14" s="13"/>
      <c r="B14" s="13"/>
      <c r="C14" s="13"/>
      <c r="D14" s="13"/>
      <c r="E14" s="15"/>
      <c r="F14" s="15"/>
      <c r="G14" s="15"/>
      <c r="H14" s="15"/>
      <c r="I14" s="19">
        <v>-6.5</v>
      </c>
      <c r="J14" s="19">
        <f t="shared" si="0"/>
        <v>7.5</v>
      </c>
      <c r="K14" s="19">
        <f t="shared" si="1"/>
        <v>7.1589105316381767</v>
      </c>
      <c r="L14" s="19">
        <f t="shared" si="2"/>
        <v>14.658910531638178</v>
      </c>
      <c r="M14" s="15"/>
      <c r="N14" s="15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</row>
    <row r="15" spans="1:42" ht="22.2" x14ac:dyDescent="0.25">
      <c r="A15" s="13"/>
      <c r="B15" s="13"/>
      <c r="C15" s="13"/>
      <c r="D15" s="13"/>
      <c r="E15" s="15"/>
      <c r="F15" s="15"/>
      <c r="G15" s="15"/>
      <c r="H15" s="15"/>
      <c r="I15" s="19">
        <v>-6</v>
      </c>
      <c r="J15" s="19">
        <f t="shared" si="0"/>
        <v>7.2111025509279782</v>
      </c>
      <c r="K15" s="19">
        <f t="shared" si="1"/>
        <v>7.0710678118654755</v>
      </c>
      <c r="L15" s="19">
        <f t="shared" si="2"/>
        <v>14.282170362793455</v>
      </c>
      <c r="M15" s="15"/>
      <c r="N15" s="15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</row>
    <row r="16" spans="1:42" ht="22.2" x14ac:dyDescent="0.25">
      <c r="A16" s="13"/>
      <c r="B16" s="13"/>
      <c r="C16" s="13"/>
      <c r="D16" s="13"/>
      <c r="E16" s="15"/>
      <c r="F16" s="15"/>
      <c r="G16" s="15"/>
      <c r="H16" s="15"/>
      <c r="I16" s="19">
        <v>-5.5</v>
      </c>
      <c r="J16" s="19">
        <f t="shared" si="0"/>
        <v>6.946221994724902</v>
      </c>
      <c r="K16" s="19">
        <f t="shared" si="1"/>
        <v>7.0178344238090995</v>
      </c>
      <c r="L16" s="19">
        <f t="shared" si="2"/>
        <v>13.964056418534001</v>
      </c>
      <c r="M16" s="15"/>
      <c r="N16" s="15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</row>
    <row r="17" spans="1:42" ht="22.2" x14ac:dyDescent="0.25">
      <c r="A17" s="13"/>
      <c r="B17" s="13"/>
      <c r="C17" s="13"/>
      <c r="D17" s="13"/>
      <c r="E17" s="13"/>
      <c r="F17" s="13"/>
      <c r="G17" s="13"/>
      <c r="H17" s="13"/>
      <c r="I17" s="19">
        <v>-5</v>
      </c>
      <c r="J17" s="19">
        <f t="shared" si="0"/>
        <v>6.7082039324993694</v>
      </c>
      <c r="K17" s="19">
        <f t="shared" si="1"/>
        <v>7</v>
      </c>
      <c r="L17" s="19">
        <f t="shared" si="2"/>
        <v>13.708203932499369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</row>
    <row r="18" spans="1:42" ht="22.2" x14ac:dyDescent="0.25">
      <c r="A18" s="13"/>
      <c r="B18" s="13"/>
      <c r="C18" s="13"/>
      <c r="D18" s="13"/>
      <c r="E18" s="13"/>
      <c r="F18" s="13"/>
      <c r="G18" s="13"/>
      <c r="H18" s="13"/>
      <c r="I18" s="19">
        <v>-4.5</v>
      </c>
      <c r="J18" s="19">
        <f t="shared" si="0"/>
        <v>6.5</v>
      </c>
      <c r="K18" s="19">
        <f t="shared" si="1"/>
        <v>7.0178344238090995</v>
      </c>
      <c r="L18" s="19">
        <f t="shared" si="2"/>
        <v>13.517834423809099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</row>
    <row r="19" spans="1:42" ht="22.2" x14ac:dyDescent="0.25">
      <c r="A19" s="13"/>
      <c r="B19" s="13"/>
      <c r="C19" s="13"/>
      <c r="D19" s="13"/>
      <c r="E19" s="13"/>
      <c r="F19" s="13"/>
      <c r="G19" s="13"/>
      <c r="H19" s="13"/>
      <c r="I19" s="19">
        <v>-4</v>
      </c>
      <c r="J19" s="19">
        <f t="shared" si="0"/>
        <v>6.324555320336759</v>
      </c>
      <c r="K19" s="19">
        <f t="shared" si="1"/>
        <v>7.0710678118654755</v>
      </c>
      <c r="L19" s="19">
        <f t="shared" si="2"/>
        <v>13.395623132202235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</row>
    <row r="20" spans="1:42" ht="22.2" x14ac:dyDescent="0.25">
      <c r="A20" s="13"/>
      <c r="B20" s="13"/>
      <c r="C20" s="13"/>
      <c r="D20" s="13"/>
      <c r="E20" s="13"/>
      <c r="F20" s="13"/>
      <c r="G20" s="13"/>
      <c r="H20" s="13"/>
      <c r="I20" s="19">
        <v>-3.5</v>
      </c>
      <c r="J20" s="19">
        <f t="shared" si="0"/>
        <v>6.1846584384264904</v>
      </c>
      <c r="K20" s="19">
        <f t="shared" si="1"/>
        <v>7.1589105316381767</v>
      </c>
      <c r="L20" s="19">
        <f t="shared" si="2"/>
        <v>13.343568970064666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</row>
    <row r="21" spans="1:42" ht="22.2" x14ac:dyDescent="0.25">
      <c r="A21" s="13"/>
      <c r="B21" s="13"/>
      <c r="C21" s="13"/>
      <c r="D21" s="13"/>
      <c r="E21" s="13"/>
      <c r="F21" s="13"/>
      <c r="G21" s="13"/>
      <c r="H21" s="13"/>
      <c r="I21" s="19">
        <v>-3</v>
      </c>
      <c r="J21" s="19">
        <f t="shared" si="0"/>
        <v>6.0827625302982193</v>
      </c>
      <c r="K21" s="19">
        <f t="shared" si="1"/>
        <v>7.2801098892805181</v>
      </c>
      <c r="L21" s="19">
        <f t="shared" si="2"/>
        <v>13.362872419578737</v>
      </c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</row>
    <row r="22" spans="1:42" ht="22.2" x14ac:dyDescent="0.25">
      <c r="A22" s="13"/>
      <c r="B22" s="13"/>
      <c r="C22" s="13"/>
      <c r="D22" s="13"/>
      <c r="E22" s="13"/>
      <c r="F22" s="13"/>
      <c r="G22" s="13"/>
      <c r="H22" s="13"/>
      <c r="I22" s="19">
        <v>-2.5</v>
      </c>
      <c r="J22" s="19">
        <f t="shared" si="0"/>
        <v>6.0207972893961479</v>
      </c>
      <c r="K22" s="19">
        <f t="shared" si="1"/>
        <v>7.433034373659253</v>
      </c>
      <c r="L22" s="19">
        <f t="shared" si="2"/>
        <v>13.4538316630554</v>
      </c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</row>
    <row r="23" spans="1:42" ht="22.2" x14ac:dyDescent="0.25">
      <c r="A23" s="13"/>
      <c r="B23" s="13"/>
      <c r="C23" s="13"/>
      <c r="D23" s="13"/>
      <c r="E23" s="13"/>
      <c r="F23" s="13"/>
      <c r="G23" s="13"/>
      <c r="H23" s="13"/>
      <c r="I23" s="19">
        <v>-2</v>
      </c>
      <c r="J23" s="19">
        <f t="shared" si="0"/>
        <v>6</v>
      </c>
      <c r="K23" s="19">
        <f t="shared" si="1"/>
        <v>7.6157731058639087</v>
      </c>
      <c r="L23" s="19">
        <f t="shared" si="2"/>
        <v>13.615773105863909</v>
      </c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</row>
    <row r="24" spans="1:42" ht="22.2" x14ac:dyDescent="0.25">
      <c r="A24" s="13"/>
      <c r="B24" s="13"/>
      <c r="C24" s="13"/>
      <c r="D24" s="13"/>
      <c r="E24" s="13"/>
      <c r="F24" s="13"/>
      <c r="G24" s="13"/>
      <c r="H24" s="13"/>
      <c r="I24" s="19">
        <v>-1.5</v>
      </c>
      <c r="J24" s="19">
        <f t="shared" si="0"/>
        <v>6.0207972893961479</v>
      </c>
      <c r="K24" s="19">
        <f t="shared" ref="K24:K56" si="3">(($G$7-I24)^2+$H$7^2)^0.5</f>
        <v>7.8262379212492643</v>
      </c>
      <c r="L24" s="19">
        <f t="shared" ref="L24:L56" si="4">J24+K24</f>
        <v>13.847035210645412</v>
      </c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</row>
    <row r="25" spans="1:42" ht="22.2" x14ac:dyDescent="0.25">
      <c r="A25" s="13"/>
      <c r="B25" s="13"/>
      <c r="C25" s="13"/>
      <c r="D25" s="13"/>
      <c r="E25" s="13"/>
      <c r="F25" s="13"/>
      <c r="G25" s="13"/>
      <c r="H25" s="13"/>
      <c r="I25" s="19">
        <v>-1</v>
      </c>
      <c r="J25" s="19">
        <f t="shared" si="0"/>
        <v>6.0827625302982193</v>
      </c>
      <c r="K25" s="19">
        <f t="shared" si="3"/>
        <v>8.0622577482985491</v>
      </c>
      <c r="L25" s="19">
        <f t="shared" si="4"/>
        <v>14.145020278596768</v>
      </c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</row>
    <row r="26" spans="1:42" ht="22.2" x14ac:dyDescent="0.25">
      <c r="A26" s="13"/>
      <c r="B26" s="13"/>
      <c r="C26" s="13"/>
      <c r="D26" s="13"/>
      <c r="E26" s="13"/>
      <c r="F26" s="13"/>
      <c r="G26" s="13"/>
      <c r="H26" s="13"/>
      <c r="I26" s="19">
        <v>-0.5</v>
      </c>
      <c r="J26" s="19">
        <f t="shared" si="0"/>
        <v>6.1846584384264904</v>
      </c>
      <c r="K26" s="19">
        <f t="shared" si="3"/>
        <v>8.3216584885466194</v>
      </c>
      <c r="L26" s="19">
        <f t="shared" si="4"/>
        <v>14.50631692697311</v>
      </c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</row>
    <row r="27" spans="1:42" ht="22.2" x14ac:dyDescent="0.25">
      <c r="A27" s="13"/>
      <c r="B27" s="13"/>
      <c r="C27" s="13"/>
      <c r="D27" s="13"/>
      <c r="E27" s="13"/>
      <c r="F27" s="13"/>
      <c r="G27" s="13"/>
      <c r="H27" s="13"/>
      <c r="I27" s="19">
        <v>0</v>
      </c>
      <c r="J27" s="19">
        <f t="shared" si="0"/>
        <v>6.324555320336759</v>
      </c>
      <c r="K27" s="19">
        <f t="shared" si="3"/>
        <v>8.6023252670426267</v>
      </c>
      <c r="L27" s="19">
        <f t="shared" si="4"/>
        <v>14.926880587379387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</row>
    <row r="28" spans="1:42" ht="22.2" x14ac:dyDescent="0.25">
      <c r="A28" s="13"/>
      <c r="B28" s="13"/>
      <c r="C28" s="13"/>
      <c r="D28" s="13"/>
      <c r="E28" s="13"/>
      <c r="F28" s="13"/>
      <c r="G28" s="13"/>
      <c r="H28" s="13"/>
      <c r="I28" s="19">
        <v>0.5</v>
      </c>
      <c r="J28" s="19">
        <f t="shared" si="0"/>
        <v>6.5</v>
      </c>
      <c r="K28" s="19">
        <f t="shared" si="3"/>
        <v>8.9022469073824286</v>
      </c>
      <c r="L28" s="19">
        <f t="shared" si="4"/>
        <v>15.402246907382429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</row>
    <row r="29" spans="1:42" ht="22.2" x14ac:dyDescent="0.25">
      <c r="I29" s="19">
        <v>1</v>
      </c>
      <c r="J29" s="19">
        <f t="shared" si="0"/>
        <v>6.7082039324993694</v>
      </c>
      <c r="K29" s="19">
        <f t="shared" si="3"/>
        <v>9.2195444572928871</v>
      </c>
      <c r="L29" s="19">
        <f t="shared" si="4"/>
        <v>15.927748389792256</v>
      </c>
    </row>
    <row r="30" spans="1:42" ht="22.2" x14ac:dyDescent="0.25">
      <c r="I30" s="19">
        <v>1.5</v>
      </c>
      <c r="J30" s="19">
        <f t="shared" si="0"/>
        <v>6.946221994724902</v>
      </c>
      <c r="K30" s="19">
        <f t="shared" si="3"/>
        <v>9.5524865872713995</v>
      </c>
      <c r="L30" s="19">
        <f t="shared" si="4"/>
        <v>16.498708581996301</v>
      </c>
    </row>
    <row r="31" spans="1:42" ht="22.2" x14ac:dyDescent="0.25">
      <c r="I31" s="19">
        <v>2</v>
      </c>
      <c r="J31" s="19">
        <f t="shared" si="0"/>
        <v>7.2111025509279782</v>
      </c>
      <c r="K31" s="19">
        <f t="shared" si="3"/>
        <v>9.8994949366116654</v>
      </c>
      <c r="L31" s="19">
        <f t="shared" si="4"/>
        <v>17.110597487539643</v>
      </c>
    </row>
    <row r="32" spans="1:42" ht="22.2" x14ac:dyDescent="0.25">
      <c r="I32" s="19">
        <v>2.5</v>
      </c>
      <c r="J32" s="19">
        <f t="shared" si="0"/>
        <v>7.5</v>
      </c>
      <c r="K32" s="19">
        <f t="shared" si="3"/>
        <v>10.259142264341596</v>
      </c>
      <c r="L32" s="19">
        <f t="shared" si="4"/>
        <v>17.759142264341598</v>
      </c>
    </row>
    <row r="33" spans="9:12" ht="22.2" x14ac:dyDescent="0.25">
      <c r="I33" s="19">
        <v>3</v>
      </c>
      <c r="J33" s="19">
        <f t="shared" si="0"/>
        <v>7.810249675906654</v>
      </c>
      <c r="K33" s="19">
        <f t="shared" si="3"/>
        <v>10.63014581273465</v>
      </c>
      <c r="L33" s="19">
        <f t="shared" si="4"/>
        <v>18.440395488641304</v>
      </c>
    </row>
    <row r="34" spans="9:12" ht="22.2" x14ac:dyDescent="0.25">
      <c r="I34" s="19">
        <v>3.5</v>
      </c>
      <c r="J34" s="19">
        <f t="shared" si="0"/>
        <v>8.1394102980498531</v>
      </c>
      <c r="K34" s="19">
        <f t="shared" si="3"/>
        <v>11.01135777277262</v>
      </c>
      <c r="L34" s="19">
        <f t="shared" si="4"/>
        <v>19.150768070822473</v>
      </c>
    </row>
    <row r="35" spans="9:12" ht="22.2" x14ac:dyDescent="0.25">
      <c r="I35" s="19">
        <v>4</v>
      </c>
      <c r="J35" s="19">
        <f t="shared" si="0"/>
        <v>8.4852813742385695</v>
      </c>
      <c r="K35" s="19">
        <f t="shared" si="3"/>
        <v>11.401754250991379</v>
      </c>
      <c r="L35" s="19">
        <f t="shared" si="4"/>
        <v>19.887035625229949</v>
      </c>
    </row>
    <row r="36" spans="9:12" ht="22.2" x14ac:dyDescent="0.25">
      <c r="I36" s="19">
        <v>4.5</v>
      </c>
      <c r="J36" s="19">
        <f t="shared" si="0"/>
        <v>8.8459030064770658</v>
      </c>
      <c r="K36" s="19">
        <f t="shared" si="3"/>
        <v>11.800423721205947</v>
      </c>
      <c r="L36" s="19">
        <f t="shared" si="4"/>
        <v>20.646326727683011</v>
      </c>
    </row>
    <row r="37" spans="9:12" ht="22.2" x14ac:dyDescent="0.25">
      <c r="I37" s="19">
        <v>5</v>
      </c>
      <c r="J37" s="19">
        <f t="shared" si="0"/>
        <v>9.2195444572928871</v>
      </c>
      <c r="K37" s="19">
        <f t="shared" si="3"/>
        <v>12.206555615733702</v>
      </c>
      <c r="L37" s="19">
        <f t="shared" si="4"/>
        <v>21.426100073026589</v>
      </c>
    </row>
    <row r="38" spans="9:12" ht="22.2" x14ac:dyDescent="0.25">
      <c r="I38" s="19">
        <v>5.5</v>
      </c>
      <c r="J38" s="19">
        <f t="shared" si="0"/>
        <v>9.6046863561492728</v>
      </c>
      <c r="K38" s="19">
        <f t="shared" si="3"/>
        <v>12.619429464123963</v>
      </c>
      <c r="L38" s="19">
        <f t="shared" si="4"/>
        <v>22.224115820273234</v>
      </c>
    </row>
    <row r="39" spans="9:12" ht="22.2" x14ac:dyDescent="0.25">
      <c r="I39" s="19">
        <v>6</v>
      </c>
      <c r="J39" s="19">
        <f t="shared" si="0"/>
        <v>10</v>
      </c>
      <c r="K39" s="19">
        <f t="shared" si="3"/>
        <v>13.038404810405298</v>
      </c>
      <c r="L39" s="19">
        <f t="shared" si="4"/>
        <v>23.038404810405297</v>
      </c>
    </row>
    <row r="40" spans="9:12" ht="22.2" x14ac:dyDescent="0.25">
      <c r="I40" s="19">
        <v>6.5</v>
      </c>
      <c r="J40" s="19">
        <f t="shared" si="0"/>
        <v>10.404326023342406</v>
      </c>
      <c r="K40" s="19">
        <f t="shared" si="3"/>
        <v>13.46291201783626</v>
      </c>
      <c r="L40" s="19">
        <f t="shared" si="4"/>
        <v>23.867238041178666</v>
      </c>
    </row>
    <row r="41" spans="9:12" ht="22.2" x14ac:dyDescent="0.25">
      <c r="I41" s="19">
        <v>7</v>
      </c>
      <c r="J41" s="19">
        <f t="shared" si="0"/>
        <v>10.816653826391969</v>
      </c>
      <c r="K41" s="19">
        <f t="shared" si="3"/>
        <v>13.892443989449804</v>
      </c>
      <c r="L41" s="19">
        <f t="shared" si="4"/>
        <v>24.709097815841773</v>
      </c>
    </row>
    <row r="42" spans="9:12" ht="22.2" x14ac:dyDescent="0.25">
      <c r="I42" s="19">
        <v>7.5</v>
      </c>
      <c r="J42" s="19">
        <f t="shared" si="0"/>
        <v>11.236102527122116</v>
      </c>
      <c r="K42" s="19">
        <f t="shared" si="3"/>
        <v>14.326548781894402</v>
      </c>
      <c r="L42" s="19">
        <f t="shared" si="4"/>
        <v>25.562651309016516</v>
      </c>
    </row>
    <row r="43" spans="9:12" ht="22.2" x14ac:dyDescent="0.25">
      <c r="I43" s="19">
        <v>8</v>
      </c>
      <c r="J43" s="19">
        <f t="shared" si="0"/>
        <v>11.661903789690601</v>
      </c>
      <c r="K43" s="19">
        <f t="shared" si="3"/>
        <v>14.7648230602334</v>
      </c>
      <c r="L43" s="19">
        <f t="shared" si="4"/>
        <v>26.426726849924002</v>
      </c>
    </row>
    <row r="44" spans="9:12" ht="22.2" x14ac:dyDescent="0.25">
      <c r="I44" s="19">
        <v>8.5</v>
      </c>
      <c r="J44" s="19">
        <f t="shared" si="0"/>
        <v>12.093386622447824</v>
      </c>
      <c r="K44" s="19">
        <f t="shared" si="3"/>
        <v>15.20690632574555</v>
      </c>
      <c r="L44" s="19">
        <f t="shared" si="4"/>
        <v>27.300292948193373</v>
      </c>
    </row>
    <row r="45" spans="9:12" ht="22.2" x14ac:dyDescent="0.25">
      <c r="I45" s="19">
        <v>9</v>
      </c>
      <c r="J45" s="19">
        <f t="shared" si="0"/>
        <v>12.529964086141668</v>
      </c>
      <c r="K45" s="19">
        <f t="shared" si="3"/>
        <v>15.652475842498529</v>
      </c>
      <c r="L45" s="19">
        <f t="shared" si="4"/>
        <v>28.182439928640196</v>
      </c>
    </row>
    <row r="46" spans="9:12" ht="22.2" x14ac:dyDescent="0.25">
      <c r="I46" s="19">
        <v>9.5</v>
      </c>
      <c r="J46" s="19">
        <f t="shared" si="0"/>
        <v>12.971121771072847</v>
      </c>
      <c r="K46" s="19">
        <f t="shared" si="3"/>
        <v>16.101242188104617</v>
      </c>
      <c r="L46" s="19">
        <f t="shared" si="4"/>
        <v>29.072363959177466</v>
      </c>
    </row>
    <row r="47" spans="9:12" ht="22.2" x14ac:dyDescent="0.25">
      <c r="I47" s="19">
        <v>10</v>
      </c>
      <c r="J47" s="19">
        <f t="shared" si="0"/>
        <v>13.416407864998739</v>
      </c>
      <c r="K47" s="19">
        <f t="shared" si="3"/>
        <v>16.552945357246848</v>
      </c>
      <c r="L47" s="19">
        <f t="shared" si="4"/>
        <v>29.969353222245587</v>
      </c>
    </row>
    <row r="48" spans="9:12" ht="22.2" x14ac:dyDescent="0.25">
      <c r="I48" s="19">
        <v>10.5</v>
      </c>
      <c r="J48" s="19">
        <f t="shared" si="0"/>
        <v>13.865424623862047</v>
      </c>
      <c r="K48" s="19">
        <f t="shared" si="3"/>
        <v>17.00735135169495</v>
      </c>
      <c r="L48" s="19">
        <f t="shared" si="4"/>
        <v>30.872775975556998</v>
      </c>
    </row>
    <row r="49" spans="9:12" ht="22.2" x14ac:dyDescent="0.25">
      <c r="I49" s="19">
        <v>11</v>
      </c>
      <c r="J49" s="19">
        <f t="shared" si="0"/>
        <v>14.317821063276353</v>
      </c>
      <c r="K49" s="19">
        <f t="shared" si="3"/>
        <v>17.464249196572979</v>
      </c>
      <c r="L49" s="19">
        <f t="shared" si="4"/>
        <v>31.782070259849334</v>
      </c>
    </row>
    <row r="50" spans="9:12" ht="22.2" x14ac:dyDescent="0.25">
      <c r="I50" s="19">
        <v>11.5</v>
      </c>
      <c r="J50" s="19">
        <f t="shared" si="0"/>
        <v>14.773286702694158</v>
      </c>
      <c r="K50" s="19">
        <f t="shared" si="3"/>
        <v>17.923448328934921</v>
      </c>
      <c r="L50" s="19">
        <f t="shared" si="4"/>
        <v>32.696735031629075</v>
      </c>
    </row>
    <row r="51" spans="9:12" ht="22.2" x14ac:dyDescent="0.25">
      <c r="I51" s="19">
        <v>12</v>
      </c>
      <c r="J51" s="19">
        <f t="shared" si="0"/>
        <v>15.231546211727817</v>
      </c>
      <c r="K51" s="19">
        <f t="shared" si="3"/>
        <v>18.384776310850235</v>
      </c>
      <c r="L51" s="19">
        <f t="shared" si="4"/>
        <v>33.616322522578052</v>
      </c>
    </row>
    <row r="52" spans="9:12" ht="22.2" x14ac:dyDescent="0.25">
      <c r="I52" s="19">
        <v>12.5</v>
      </c>
      <c r="J52" s="19">
        <f t="shared" si="0"/>
        <v>15.692354826475215</v>
      </c>
      <c r="K52" s="19">
        <f t="shared" si="3"/>
        <v>18.848076824970764</v>
      </c>
      <c r="L52" s="19">
        <f t="shared" si="4"/>
        <v>34.540431651445978</v>
      </c>
    </row>
    <row r="53" spans="9:12" ht="22.2" x14ac:dyDescent="0.25">
      <c r="I53" s="19">
        <v>13</v>
      </c>
      <c r="J53" s="19">
        <f t="shared" si="0"/>
        <v>16.15549442140351</v>
      </c>
      <c r="K53" s="19">
        <f t="shared" si="3"/>
        <v>19.313207915827967</v>
      </c>
      <c r="L53" s="19">
        <f t="shared" si="4"/>
        <v>35.468702337231477</v>
      </c>
    </row>
    <row r="54" spans="9:12" ht="22.2" x14ac:dyDescent="0.25">
      <c r="I54" s="19">
        <v>13.5</v>
      </c>
      <c r="J54" s="19">
        <f t="shared" si="0"/>
        <v>16.620770138594661</v>
      </c>
      <c r="K54" s="19">
        <f t="shared" si="3"/>
        <v>19.780040444852482</v>
      </c>
      <c r="L54" s="19">
        <f t="shared" si="4"/>
        <v>36.400810583447139</v>
      </c>
    </row>
    <row r="55" spans="9:12" ht="22.2" x14ac:dyDescent="0.25">
      <c r="I55" s="19">
        <v>14</v>
      </c>
      <c r="J55" s="19">
        <f t="shared" si="0"/>
        <v>17.088007490635061</v>
      </c>
      <c r="K55" s="19">
        <f t="shared" si="3"/>
        <v>20.248456731316587</v>
      </c>
      <c r="L55" s="19">
        <f t="shared" si="4"/>
        <v>37.336464221951644</v>
      </c>
    </row>
    <row r="56" spans="9:12" ht="22.2" x14ac:dyDescent="0.25">
      <c r="I56" s="19">
        <v>14.5</v>
      </c>
      <c r="J56" s="19">
        <f t="shared" si="0"/>
        <v>17.557049866079439</v>
      </c>
      <c r="K56" s="19">
        <f t="shared" si="3"/>
        <v>20.71834935510066</v>
      </c>
      <c r="L56" s="19">
        <f t="shared" si="4"/>
        <v>38.275399221180095</v>
      </c>
    </row>
    <row r="57" spans="9:12" ht="22.2" x14ac:dyDescent="0.25">
      <c r="I57" s="19">
        <v>15</v>
      </c>
      <c r="J57" s="19">
        <f>((I57+$E$7)^2+$F$7^2)^0.5</f>
        <v>18.027756377319946</v>
      </c>
      <c r="K57" s="19">
        <f>(($G$7-I57)^2+$H$7^2)^0.5</f>
        <v>21.189620100417091</v>
      </c>
      <c r="L57" s="19">
        <f>J57+K57</f>
        <v>39.217376477737034</v>
      </c>
    </row>
    <row r="58" spans="9:12" ht="22.2" x14ac:dyDescent="0.25">
      <c r="I58" s="17">
        <v>15.5</v>
      </c>
      <c r="J58" s="17">
        <f t="shared" si="0"/>
        <v>18.5</v>
      </c>
      <c r="K58" s="17">
        <f t="shared" ref="K58:K62" si="5">(($G$7-I58)^2+$H$7^2)^0.5</f>
        <v>21.662179022434469</v>
      </c>
      <c r="L58" s="17">
        <f t="shared" ref="L58:L62" si="6">J58+K58</f>
        <v>40.162179022434472</v>
      </c>
    </row>
    <row r="59" spans="9:12" ht="22.2" x14ac:dyDescent="0.25">
      <c r="I59" s="17">
        <v>16</v>
      </c>
      <c r="J59" s="17">
        <f t="shared" si="0"/>
        <v>18.973665961010276</v>
      </c>
      <c r="K59" s="17">
        <f t="shared" si="5"/>
        <v>22.135943621178654</v>
      </c>
      <c r="L59" s="17">
        <f t="shared" si="6"/>
        <v>41.109609582188931</v>
      </c>
    </row>
    <row r="60" spans="9:12" ht="22.2" x14ac:dyDescent="0.25">
      <c r="I60" s="17">
        <v>16.5</v>
      </c>
      <c r="J60" s="17">
        <f t="shared" si="0"/>
        <v>19.448650338776723</v>
      </c>
      <c r="K60" s="17">
        <f t="shared" si="5"/>
        <v>22.610838109190027</v>
      </c>
      <c r="L60" s="17">
        <f t="shared" si="6"/>
        <v>42.05948844796675</v>
      </c>
    </row>
    <row r="61" spans="9:12" ht="22.2" x14ac:dyDescent="0.25">
      <c r="I61" s="17">
        <v>17</v>
      </c>
      <c r="J61" s="17">
        <f t="shared" si="0"/>
        <v>19.924858845171276</v>
      </c>
      <c r="K61" s="17">
        <f t="shared" si="5"/>
        <v>23.086792761230392</v>
      </c>
      <c r="L61" s="17">
        <f t="shared" si="6"/>
        <v>43.011651606401671</v>
      </c>
    </row>
    <row r="62" spans="9:12" ht="22.2" x14ac:dyDescent="0.25">
      <c r="I62" s="17">
        <v>17.5</v>
      </c>
      <c r="J62" s="17">
        <f t="shared" si="0"/>
        <v>20.402205763103165</v>
      </c>
      <c r="K62" s="17">
        <f t="shared" si="5"/>
        <v>23.563743335896358</v>
      </c>
      <c r="L62" s="17">
        <f t="shared" si="6"/>
        <v>43.965949098999523</v>
      </c>
    </row>
    <row r="63" spans="9:12" ht="22.2" x14ac:dyDescent="0.25">
      <c r="J63" s="17"/>
      <c r="K63" s="17"/>
      <c r="L63" s="17"/>
    </row>
  </sheetData>
  <mergeCells count="5">
    <mergeCell ref="P6:S6"/>
    <mergeCell ref="P7:S7"/>
    <mergeCell ref="N6:O7"/>
    <mergeCell ref="O9:S9"/>
    <mergeCell ref="O8:S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2051" r:id="rId4">
          <objectPr defaultSize="0" autoPict="0" r:id="rId5">
            <anchor moveWithCells="1" sizeWithCells="1">
              <from>
                <xdr:col>3</xdr:col>
                <xdr:colOff>579120</xdr:colOff>
                <xdr:row>0</xdr:row>
                <xdr:rowOff>144780</xdr:rowOff>
              </from>
              <to>
                <xdr:col>17</xdr:col>
                <xdr:colOff>0</xdr:colOff>
                <xdr:row>3</xdr:row>
                <xdr:rowOff>213360</xdr:rowOff>
              </to>
            </anchor>
          </objectPr>
        </oleObject>
      </mc:Choice>
      <mc:Fallback>
        <oleObject progId="Equation.3" shapeId="205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宏2">
                <anchor moveWithCells="1" sizeWithCells="1">
                  <from>
                    <xdr:col>3</xdr:col>
                    <xdr:colOff>480060</xdr:colOff>
                    <xdr:row>9</xdr:row>
                    <xdr:rowOff>53340</xdr:rowOff>
                  </from>
                  <to>
                    <xdr:col>7</xdr:col>
                    <xdr:colOff>213360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82"/>
  <sheetViews>
    <sheetView topLeftCell="C1" zoomScale="90" zoomScaleNormal="90" workbookViewId="0">
      <selection activeCell="R17" sqref="R17"/>
    </sheetView>
  </sheetViews>
  <sheetFormatPr defaultRowHeight="14.4" x14ac:dyDescent="0.25"/>
  <cols>
    <col min="4" max="4" width="11.21875" customWidth="1"/>
    <col min="7" max="7" width="16.21875" customWidth="1"/>
    <col min="8" max="8" width="13" customWidth="1"/>
    <col min="9" max="9" width="19.44140625" customWidth="1"/>
    <col min="10" max="10" width="12.21875" customWidth="1"/>
    <col min="17" max="17" width="12.88671875" customWidth="1"/>
    <col min="18" max="18" width="27.5546875" customWidth="1"/>
    <col min="19" max="19" width="26.6640625" customWidth="1"/>
  </cols>
  <sheetData>
    <row r="1" spans="1:19" ht="22.2" x14ac:dyDescent="0.25">
      <c r="A1" s="13"/>
      <c r="B1" s="13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9" ht="22.2" x14ac:dyDescent="0.25">
      <c r="A2" s="13"/>
      <c r="B2" s="13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9" ht="22.2" x14ac:dyDescent="0.25">
      <c r="A3" s="13"/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</row>
    <row r="4" spans="1:19" ht="22.2" x14ac:dyDescent="0.25">
      <c r="A4" s="13"/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19" ht="25.8" x14ac:dyDescent="0.25">
      <c r="A5" s="13"/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6"/>
      <c r="O5" s="16"/>
      <c r="P5" s="16"/>
      <c r="Q5" s="28" t="s">
        <v>35</v>
      </c>
      <c r="R5" s="27">
        <f>((R6+$C$7)^2+$D$7)^0.5+(($E$7+R6)^2+$F$7)^0.5</f>
        <v>4.830110039194274</v>
      </c>
      <c r="S5" s="27">
        <f>((S6+$C$7)^2+$D$7)^0.5+(($E$7+S6)^2+$F$7)^0.5</f>
        <v>0.84493316552970654</v>
      </c>
    </row>
    <row r="6" spans="1:19" ht="36.6" x14ac:dyDescent="0.25">
      <c r="A6" s="13"/>
      <c r="B6" s="13"/>
      <c r="C6" s="21" t="s">
        <v>2</v>
      </c>
      <c r="D6" s="21" t="s">
        <v>23</v>
      </c>
      <c r="E6" s="21" t="s">
        <v>4</v>
      </c>
      <c r="F6" s="21" t="s">
        <v>24</v>
      </c>
      <c r="G6" s="20" t="s">
        <v>8</v>
      </c>
      <c r="H6" s="19" t="s">
        <v>28</v>
      </c>
      <c r="I6" s="19" t="s">
        <v>29</v>
      </c>
      <c r="J6" s="19" t="s">
        <v>27</v>
      </c>
      <c r="K6" s="17"/>
      <c r="L6" s="47" t="s">
        <v>31</v>
      </c>
      <c r="M6" s="48"/>
      <c r="N6" s="45" t="s">
        <v>32</v>
      </c>
      <c r="O6" s="45"/>
      <c r="P6" s="45"/>
      <c r="Q6" s="50"/>
      <c r="R6" s="25">
        <f>-C7+(-D7)^0.5+0.000001</f>
        <v>-6.5857854376269049</v>
      </c>
      <c r="S6" s="25">
        <f>-C7-(-D7)^0.5-0.0001</f>
        <v>-9.4143135623730956</v>
      </c>
    </row>
    <row r="7" spans="1:19" ht="25.8" x14ac:dyDescent="0.25">
      <c r="A7" s="13"/>
      <c r="B7" s="13"/>
      <c r="C7" s="22">
        <v>8</v>
      </c>
      <c r="D7" s="22">
        <v>-2</v>
      </c>
      <c r="E7" s="22">
        <v>12</v>
      </c>
      <c r="F7" s="23">
        <v>-6</v>
      </c>
      <c r="G7" s="20">
        <v>-4.5857000000000001</v>
      </c>
      <c r="H7" s="19">
        <f>((G7+$C$7)^2*(1)+$D$7)^0.5</f>
        <v>3.1076429154585954</v>
      </c>
      <c r="I7" s="19">
        <f>(($E$7+G7)^2+$F$7)^0.5</f>
        <v>6.997988603163054</v>
      </c>
      <c r="J7" s="19">
        <f>H7+I7</f>
        <v>10.105631518621649</v>
      </c>
      <c r="K7" s="17"/>
      <c r="L7" s="48"/>
      <c r="M7" s="48"/>
      <c r="N7" s="46" t="s">
        <v>33</v>
      </c>
      <c r="O7" s="46"/>
      <c r="P7" s="46"/>
      <c r="Q7" s="51"/>
      <c r="R7" s="25">
        <f>-E7+(-F7)^0.5</f>
        <v>-9.5505102572168212</v>
      </c>
      <c r="S7" s="25">
        <f>-E7-(-F7)^0.5</f>
        <v>-14.449489742783179</v>
      </c>
    </row>
    <row r="8" spans="1:19" ht="25.8" x14ac:dyDescent="0.25">
      <c r="A8" s="13"/>
      <c r="B8" s="13"/>
      <c r="C8" s="17"/>
      <c r="D8" s="17"/>
      <c r="E8" s="17"/>
      <c r="F8" s="17"/>
      <c r="G8" s="19">
        <v>-9.5504999999999995</v>
      </c>
      <c r="H8" s="19">
        <f t="shared" ref="H8:H71" si="0">((G8+$C$7)^2*(1)+$D$7)^0.5</f>
        <v>0.63564947101370162</v>
      </c>
      <c r="I8" s="19">
        <f t="shared" ref="I8:I71" si="1">(($E$7+G8)^2+$F$7)^0.5</f>
        <v>7.0887234395141142E-3</v>
      </c>
      <c r="J8" s="19">
        <f t="shared" ref="J8:J71" si="2">H8+I8</f>
        <v>0.64273819445321578</v>
      </c>
      <c r="K8" s="17"/>
      <c r="L8" s="15"/>
      <c r="M8" s="13"/>
      <c r="N8" s="24"/>
      <c r="O8" s="24"/>
      <c r="P8" s="24"/>
      <c r="Q8" s="26" t="s">
        <v>34</v>
      </c>
      <c r="R8" s="27">
        <f>((R7+$C$7)^2+$D$7)^0.5+(($E$7+R7)^2+$F$7)^0.5</f>
        <v>0.63567454999620754</v>
      </c>
      <c r="S8" s="27">
        <f>((S7+$C$7)^2+$D$7)^0.5+(($E$7+S7)^2+$F$7)^0.5</f>
        <v>6.2925287994885899</v>
      </c>
    </row>
    <row r="9" spans="1:19" ht="22.2" x14ac:dyDescent="0.25">
      <c r="A9" s="13"/>
      <c r="B9" s="13"/>
      <c r="C9" s="17"/>
      <c r="D9" s="29" t="s">
        <v>25</v>
      </c>
      <c r="E9" s="29" t="s">
        <v>26</v>
      </c>
      <c r="F9" s="17"/>
      <c r="G9" s="19">
        <v>-9</v>
      </c>
      <c r="H9" s="19" t="e">
        <f t="shared" si="0"/>
        <v>#NUM!</v>
      </c>
      <c r="I9" s="19">
        <f t="shared" si="1"/>
        <v>1.7320508075688772</v>
      </c>
      <c r="J9" s="19" t="e">
        <f t="shared" si="2"/>
        <v>#NUM!</v>
      </c>
      <c r="K9" s="17"/>
      <c r="L9" s="15"/>
      <c r="M9" s="13"/>
      <c r="N9" s="13"/>
      <c r="O9" s="13"/>
      <c r="P9" s="13"/>
      <c r="Q9" s="13"/>
    </row>
    <row r="10" spans="1:19" ht="22.2" x14ac:dyDescent="0.25">
      <c r="A10" s="13"/>
      <c r="B10" s="13"/>
      <c r="C10" s="17"/>
      <c r="D10" s="29">
        <f>((R6+$C$7)^2+$D$7)</f>
        <v>2.8284281246016008E-6</v>
      </c>
      <c r="E10" s="29">
        <f>(($E$7+R6)^2+$F$7)</f>
        <v>23.313719327412887</v>
      </c>
      <c r="F10" s="17"/>
      <c r="G10" s="19">
        <v>-8.5</v>
      </c>
      <c r="H10" s="19" t="e">
        <f t="shared" si="0"/>
        <v>#NUM!</v>
      </c>
      <c r="I10" s="19">
        <f t="shared" si="1"/>
        <v>2.5</v>
      </c>
      <c r="J10" s="19" t="e">
        <f t="shared" si="2"/>
        <v>#NUM!</v>
      </c>
      <c r="K10" s="17"/>
      <c r="L10" s="15"/>
      <c r="M10" s="13"/>
      <c r="N10" s="13"/>
      <c r="O10" s="13"/>
      <c r="P10" s="13"/>
      <c r="Q10" s="13"/>
    </row>
    <row r="11" spans="1:19" ht="22.2" x14ac:dyDescent="0.25">
      <c r="A11" s="13"/>
      <c r="B11" s="13"/>
      <c r="C11" s="17"/>
      <c r="D11" s="29"/>
      <c r="E11" s="29"/>
      <c r="F11" s="17"/>
      <c r="G11" s="19">
        <v>-8</v>
      </c>
      <c r="H11" s="19" t="e">
        <f t="shared" si="0"/>
        <v>#NUM!</v>
      </c>
      <c r="I11" s="19">
        <f t="shared" si="1"/>
        <v>3.1622776601683795</v>
      </c>
      <c r="J11" s="19" t="e">
        <f t="shared" si="2"/>
        <v>#NUM!</v>
      </c>
      <c r="K11" s="17"/>
      <c r="L11" s="15"/>
      <c r="M11" s="13"/>
      <c r="N11" s="13"/>
      <c r="O11" s="13"/>
      <c r="P11" s="13"/>
      <c r="Q11" s="13"/>
    </row>
    <row r="12" spans="1:19" ht="22.2" x14ac:dyDescent="0.25">
      <c r="A12" s="13"/>
      <c r="B12" s="13"/>
      <c r="C12" s="17"/>
      <c r="D12" s="17"/>
      <c r="E12" s="17"/>
      <c r="F12" s="17"/>
      <c r="G12" s="19">
        <v>-7.5</v>
      </c>
      <c r="H12" s="19" t="e">
        <f t="shared" si="0"/>
        <v>#NUM!</v>
      </c>
      <c r="I12" s="19">
        <f t="shared" si="1"/>
        <v>3.7749172176353749</v>
      </c>
      <c r="J12" s="19" t="e">
        <f t="shared" si="2"/>
        <v>#NUM!</v>
      </c>
      <c r="K12" s="17"/>
      <c r="L12" s="15"/>
      <c r="M12" s="13"/>
      <c r="N12" s="13"/>
      <c r="O12" s="13"/>
      <c r="P12" s="13"/>
      <c r="Q12" s="13"/>
    </row>
    <row r="13" spans="1:19" ht="22.2" x14ac:dyDescent="0.25">
      <c r="A13" s="13"/>
      <c r="B13" s="13"/>
      <c r="C13" s="18"/>
      <c r="D13" s="18"/>
      <c r="E13" s="18"/>
      <c r="F13" s="18"/>
      <c r="G13" s="19">
        <v>-7</v>
      </c>
      <c r="H13" s="19" t="e">
        <f t="shared" si="0"/>
        <v>#NUM!</v>
      </c>
      <c r="I13" s="19">
        <f t="shared" si="1"/>
        <v>4.358898943540674</v>
      </c>
      <c r="J13" s="19" t="e">
        <f t="shared" si="2"/>
        <v>#NUM!</v>
      </c>
      <c r="K13" s="18"/>
      <c r="L13" s="15"/>
      <c r="M13" s="13"/>
      <c r="N13" s="13"/>
      <c r="O13" s="13"/>
      <c r="P13" s="13"/>
      <c r="Q13" s="13"/>
    </row>
    <row r="14" spans="1:19" ht="22.2" x14ac:dyDescent="0.25">
      <c r="A14" s="13"/>
      <c r="B14" s="13"/>
      <c r="C14" s="15"/>
      <c r="D14" s="29" t="s">
        <v>25</v>
      </c>
      <c r="E14" s="29" t="s">
        <v>26</v>
      </c>
      <c r="F14" s="15"/>
      <c r="G14" s="19">
        <v>-6.5</v>
      </c>
      <c r="H14" s="19">
        <f t="shared" si="0"/>
        <v>0.5</v>
      </c>
      <c r="I14" s="19">
        <f t="shared" si="1"/>
        <v>4.924428900898052</v>
      </c>
      <c r="J14" s="19">
        <f t="shared" si="2"/>
        <v>5.424428900898052</v>
      </c>
      <c r="K14" s="15"/>
      <c r="L14" s="15"/>
      <c r="M14" s="13"/>
      <c r="N14" s="13"/>
      <c r="O14" s="13"/>
      <c r="P14" s="13"/>
      <c r="Q14" s="13"/>
    </row>
    <row r="15" spans="1:19" ht="22.2" x14ac:dyDescent="0.25">
      <c r="A15" s="13"/>
      <c r="B15" s="13"/>
      <c r="C15" s="15"/>
      <c r="D15" s="29">
        <f>((R7+$C$7)^2+$D$7)</f>
        <v>0.40408205773457295</v>
      </c>
      <c r="E15" s="29">
        <f>(($E$7+R7)^2+$F$7)</f>
        <v>3.5527136788005009E-15</v>
      </c>
      <c r="F15" s="15"/>
      <c r="G15" s="19">
        <v>-6</v>
      </c>
      <c r="H15" s="19">
        <f t="shared" si="0"/>
        <v>1.4142135623730951</v>
      </c>
      <c r="I15" s="19">
        <f t="shared" si="1"/>
        <v>5.4772255750516612</v>
      </c>
      <c r="J15" s="19">
        <f t="shared" si="2"/>
        <v>6.8914391374247561</v>
      </c>
      <c r="K15" s="15"/>
      <c r="L15" s="15"/>
      <c r="M15" s="13"/>
      <c r="N15" s="13"/>
      <c r="O15" s="13"/>
      <c r="P15" s="13"/>
      <c r="Q15" s="13"/>
    </row>
    <row r="16" spans="1:19" ht="22.2" x14ac:dyDescent="0.25">
      <c r="A16" s="13"/>
      <c r="B16" s="13"/>
      <c r="C16" s="15"/>
      <c r="D16" s="29"/>
      <c r="E16" s="29"/>
      <c r="F16" s="15"/>
      <c r="G16" s="19">
        <v>-5.5</v>
      </c>
      <c r="H16" s="19">
        <f t="shared" si="0"/>
        <v>2.0615528128088303</v>
      </c>
      <c r="I16" s="19">
        <f t="shared" si="1"/>
        <v>6.0207972893961479</v>
      </c>
      <c r="J16" s="19">
        <f t="shared" si="2"/>
        <v>8.0823501022049786</v>
      </c>
      <c r="K16" s="15"/>
      <c r="L16" s="15"/>
      <c r="M16" s="13"/>
      <c r="N16" s="13"/>
      <c r="O16" s="13"/>
      <c r="P16" s="13"/>
      <c r="Q16" s="13"/>
    </row>
    <row r="17" spans="1:17" ht="22.2" x14ac:dyDescent="0.25">
      <c r="A17" s="13"/>
      <c r="B17" s="13"/>
      <c r="C17" s="13"/>
      <c r="D17" s="13"/>
      <c r="E17" s="13"/>
      <c r="F17" s="13"/>
      <c r="G17" s="19">
        <v>-5</v>
      </c>
      <c r="H17" s="19">
        <f t="shared" si="0"/>
        <v>2.6457513110645907</v>
      </c>
      <c r="I17" s="19">
        <f t="shared" si="1"/>
        <v>6.5574385243020004</v>
      </c>
      <c r="J17" s="19">
        <f t="shared" si="2"/>
        <v>9.2031898353665902</v>
      </c>
      <c r="K17" s="13"/>
      <c r="L17" s="13"/>
      <c r="M17" s="13"/>
      <c r="N17" s="13"/>
      <c r="O17" s="13"/>
      <c r="P17" s="13"/>
      <c r="Q17" s="13"/>
    </row>
    <row r="18" spans="1:17" ht="22.2" x14ac:dyDescent="0.25">
      <c r="A18" s="13"/>
      <c r="B18" s="13"/>
      <c r="C18" s="13"/>
      <c r="D18" s="13"/>
      <c r="E18" s="13"/>
      <c r="F18" s="13"/>
      <c r="G18" s="19">
        <v>-4.5</v>
      </c>
      <c r="H18" s="19">
        <f t="shared" si="0"/>
        <v>3.2015621187164243</v>
      </c>
      <c r="I18" s="19">
        <f t="shared" si="1"/>
        <v>7.0887234393789127</v>
      </c>
      <c r="J18" s="19">
        <f t="shared" si="2"/>
        <v>10.290285558095338</v>
      </c>
      <c r="K18" s="13"/>
      <c r="L18" s="13"/>
      <c r="M18" s="13"/>
      <c r="N18" s="13"/>
      <c r="O18" s="13"/>
      <c r="P18" s="13"/>
      <c r="Q18" s="13"/>
    </row>
    <row r="19" spans="1:17" ht="22.2" x14ac:dyDescent="0.25">
      <c r="A19" s="13"/>
      <c r="B19" s="13"/>
      <c r="C19" s="13"/>
      <c r="D19" s="13"/>
      <c r="E19" s="13"/>
      <c r="F19" s="13"/>
      <c r="G19" s="19">
        <v>-4</v>
      </c>
      <c r="H19" s="19">
        <f t="shared" si="0"/>
        <v>3.7416573867739413</v>
      </c>
      <c r="I19" s="19">
        <f t="shared" si="1"/>
        <v>7.6157731058639087</v>
      </c>
      <c r="J19" s="19">
        <f t="shared" si="2"/>
        <v>11.35743049263785</v>
      </c>
      <c r="K19" s="13"/>
      <c r="L19" s="13"/>
      <c r="M19" s="13"/>
      <c r="N19" s="13"/>
      <c r="O19" s="13"/>
      <c r="P19" s="13"/>
      <c r="Q19" s="13"/>
    </row>
    <row r="20" spans="1:17" ht="22.2" x14ac:dyDescent="0.25">
      <c r="A20" s="13"/>
      <c r="B20" s="13"/>
      <c r="C20" s="13"/>
      <c r="D20" s="13"/>
      <c r="E20" s="13"/>
      <c r="F20" s="13"/>
      <c r="G20" s="19">
        <v>-3.5</v>
      </c>
      <c r="H20" s="19">
        <f t="shared" si="0"/>
        <v>4.2720018726587652</v>
      </c>
      <c r="I20" s="19">
        <f t="shared" si="1"/>
        <v>8.1394102980498531</v>
      </c>
      <c r="J20" s="19">
        <f t="shared" si="2"/>
        <v>12.411412170708619</v>
      </c>
      <c r="K20" s="13"/>
      <c r="L20" s="13"/>
      <c r="M20" s="13"/>
      <c r="N20" s="13"/>
      <c r="O20" s="13"/>
      <c r="P20" s="13"/>
      <c r="Q20" s="13"/>
    </row>
    <row r="21" spans="1:17" ht="22.2" x14ac:dyDescent="0.25">
      <c r="A21" s="13"/>
      <c r="B21" s="13"/>
      <c r="C21" s="13"/>
      <c r="D21" s="13"/>
      <c r="E21" s="13"/>
      <c r="F21" s="13"/>
      <c r="G21" s="19">
        <v>-3</v>
      </c>
      <c r="H21" s="19">
        <f t="shared" si="0"/>
        <v>4.7958315233127191</v>
      </c>
      <c r="I21" s="19">
        <f t="shared" si="1"/>
        <v>8.6602540378443873</v>
      </c>
      <c r="J21" s="19">
        <f t="shared" si="2"/>
        <v>13.456085561157106</v>
      </c>
      <c r="K21" s="13"/>
      <c r="L21" s="13"/>
      <c r="M21" s="13"/>
      <c r="N21" s="13"/>
      <c r="O21" s="13"/>
      <c r="P21" s="13"/>
      <c r="Q21" s="13"/>
    </row>
    <row r="22" spans="1:17" ht="22.2" x14ac:dyDescent="0.25">
      <c r="A22" s="13"/>
      <c r="B22" s="13"/>
      <c r="C22" s="13"/>
      <c r="D22" s="13"/>
      <c r="E22" s="13"/>
      <c r="F22" s="13"/>
      <c r="G22" s="19">
        <v>-2.5</v>
      </c>
      <c r="H22" s="19">
        <f t="shared" si="0"/>
        <v>5.315072906367325</v>
      </c>
      <c r="I22" s="19">
        <f t="shared" si="1"/>
        <v>9.1787798753429097</v>
      </c>
      <c r="J22" s="19">
        <f t="shared" si="2"/>
        <v>14.493852781710235</v>
      </c>
      <c r="K22" s="13"/>
      <c r="L22" s="13"/>
      <c r="M22" s="13"/>
      <c r="N22" s="13"/>
      <c r="O22" s="13"/>
      <c r="P22" s="13"/>
      <c r="Q22" s="13"/>
    </row>
    <row r="23" spans="1:17" ht="22.2" x14ac:dyDescent="0.25">
      <c r="A23" s="13"/>
      <c r="B23" s="13"/>
      <c r="C23" s="13"/>
      <c r="D23" s="13"/>
      <c r="E23" s="13"/>
      <c r="F23" s="13"/>
      <c r="G23" s="19">
        <v>-2</v>
      </c>
      <c r="H23" s="19">
        <f t="shared" si="0"/>
        <v>5.8309518948453007</v>
      </c>
      <c r="I23" s="19">
        <f t="shared" si="1"/>
        <v>9.6953597148326587</v>
      </c>
      <c r="J23" s="19">
        <f t="shared" si="2"/>
        <v>15.526311609677959</v>
      </c>
      <c r="K23" s="13"/>
      <c r="L23" s="13"/>
      <c r="M23" s="13"/>
      <c r="N23" s="13"/>
      <c r="O23" s="13"/>
      <c r="P23" s="13"/>
      <c r="Q23" s="13"/>
    </row>
    <row r="24" spans="1:17" ht="22.2" x14ac:dyDescent="0.25">
      <c r="A24" s="13"/>
      <c r="B24" s="13"/>
      <c r="C24" s="13"/>
      <c r="D24" s="13"/>
      <c r="E24" s="13"/>
      <c r="F24" s="13"/>
      <c r="G24" s="19">
        <v>-1.5</v>
      </c>
      <c r="H24" s="19">
        <f t="shared" si="0"/>
        <v>6.3442887702247601</v>
      </c>
      <c r="I24" s="19">
        <f t="shared" si="1"/>
        <v>10.210288928331069</v>
      </c>
      <c r="J24" s="19">
        <f t="shared" si="2"/>
        <v>16.554577698555828</v>
      </c>
      <c r="K24" s="13"/>
      <c r="L24" s="13"/>
      <c r="M24" s="13"/>
      <c r="N24" s="13"/>
      <c r="O24" s="13"/>
      <c r="P24" s="13"/>
      <c r="Q24" s="13"/>
    </row>
    <row r="25" spans="1:17" ht="22.2" x14ac:dyDescent="0.25">
      <c r="A25" s="13"/>
      <c r="B25" s="13"/>
      <c r="C25" s="13"/>
      <c r="D25" s="13"/>
      <c r="E25" s="13"/>
      <c r="F25" s="13"/>
      <c r="G25" s="19">
        <v>-1</v>
      </c>
      <c r="H25" s="19">
        <f t="shared" si="0"/>
        <v>6.8556546004010439</v>
      </c>
      <c r="I25" s="19">
        <f t="shared" si="1"/>
        <v>10.723805294763608</v>
      </c>
      <c r="J25" s="19">
        <f t="shared" si="2"/>
        <v>17.579459895164653</v>
      </c>
      <c r="K25" s="13"/>
      <c r="L25" s="13"/>
      <c r="M25" s="13"/>
      <c r="N25" s="13"/>
      <c r="O25" s="13"/>
      <c r="P25" s="13"/>
      <c r="Q25" s="13"/>
    </row>
    <row r="26" spans="1:17" ht="22.2" x14ac:dyDescent="0.25">
      <c r="A26" s="13"/>
      <c r="B26" s="13"/>
      <c r="C26" s="13"/>
      <c r="D26" s="13"/>
      <c r="E26" s="13"/>
      <c r="F26" s="13"/>
      <c r="G26" s="19">
        <v>-0.5</v>
      </c>
      <c r="H26" s="19">
        <f t="shared" si="0"/>
        <v>7.3654599313281173</v>
      </c>
      <c r="I26" s="19">
        <f t="shared" si="1"/>
        <v>11.236102527122116</v>
      </c>
      <c r="J26" s="19">
        <f t="shared" si="2"/>
        <v>18.601562458450232</v>
      </c>
      <c r="K26" s="13"/>
      <c r="L26" s="13"/>
      <c r="M26" s="13"/>
      <c r="N26" s="13"/>
      <c r="O26" s="13"/>
      <c r="P26" s="13"/>
      <c r="Q26" s="13"/>
    </row>
    <row r="27" spans="1:17" ht="22.2" x14ac:dyDescent="0.25">
      <c r="G27" s="19">
        <v>0</v>
      </c>
      <c r="H27" s="19">
        <f t="shared" si="0"/>
        <v>7.8740078740118111</v>
      </c>
      <c r="I27" s="19">
        <f t="shared" si="1"/>
        <v>11.74734012447073</v>
      </c>
      <c r="J27" s="19">
        <f t="shared" si="2"/>
        <v>19.621347998482541</v>
      </c>
    </row>
    <row r="28" spans="1:17" ht="22.2" x14ac:dyDescent="0.25">
      <c r="G28" s="19">
        <v>0.5</v>
      </c>
      <c r="H28" s="19">
        <f t="shared" si="0"/>
        <v>8.3815273071201055</v>
      </c>
      <c r="I28" s="19">
        <f t="shared" si="1"/>
        <v>12.257650672131263</v>
      </c>
      <c r="J28" s="19">
        <f t="shared" si="2"/>
        <v>20.639177979251368</v>
      </c>
    </row>
    <row r="29" spans="1:17" ht="22.2" x14ac:dyDescent="0.25">
      <c r="G29" s="19">
        <v>1</v>
      </c>
      <c r="H29" s="19">
        <f t="shared" si="0"/>
        <v>8.8881944173155887</v>
      </c>
      <c r="I29" s="19">
        <f t="shared" si="1"/>
        <v>12.767145334803704</v>
      </c>
      <c r="J29" s="19">
        <f t="shared" si="2"/>
        <v>21.655339752119293</v>
      </c>
    </row>
    <row r="30" spans="1:17" ht="22.2" x14ac:dyDescent="0.25">
      <c r="G30" s="19">
        <v>1.5</v>
      </c>
      <c r="H30" s="19">
        <f t="shared" si="0"/>
        <v>9.3941471140279678</v>
      </c>
      <c r="I30" s="19">
        <f t="shared" si="1"/>
        <v>13.275918047351754</v>
      </c>
      <c r="J30" s="19">
        <f t="shared" si="2"/>
        <v>22.670065161379721</v>
      </c>
    </row>
    <row r="31" spans="1:17" ht="22.2" x14ac:dyDescent="0.25">
      <c r="G31" s="19">
        <v>2</v>
      </c>
      <c r="H31" s="19">
        <f t="shared" si="0"/>
        <v>9.8994949366116654</v>
      </c>
      <c r="I31" s="19">
        <f t="shared" si="1"/>
        <v>13.784048752090222</v>
      </c>
      <c r="J31" s="19">
        <f t="shared" si="2"/>
        <v>23.683543688701889</v>
      </c>
    </row>
    <row r="32" spans="1:17" ht="22.2" x14ac:dyDescent="0.25">
      <c r="G32" s="19">
        <v>2.5</v>
      </c>
      <c r="H32" s="19">
        <f t="shared" si="0"/>
        <v>10.404326023342406</v>
      </c>
      <c r="I32" s="19">
        <f t="shared" si="1"/>
        <v>14.291605927956452</v>
      </c>
      <c r="J32" s="19">
        <f t="shared" si="2"/>
        <v>24.69593195129886</v>
      </c>
    </row>
    <row r="33" spans="7:10" ht="22.2" x14ac:dyDescent="0.25">
      <c r="G33" s="19">
        <v>3</v>
      </c>
      <c r="H33" s="19">
        <f t="shared" si="0"/>
        <v>10.908712114635714</v>
      </c>
      <c r="I33" s="19">
        <f t="shared" si="1"/>
        <v>14.798648586948742</v>
      </c>
      <c r="J33" s="19">
        <f t="shared" si="2"/>
        <v>25.707360701584456</v>
      </c>
    </row>
    <row r="34" spans="7:10" ht="22.2" x14ac:dyDescent="0.25">
      <c r="G34" s="19">
        <v>3.5</v>
      </c>
      <c r="H34" s="19">
        <f t="shared" si="0"/>
        <v>11.412712210513327</v>
      </c>
      <c r="I34" s="19">
        <f t="shared" si="1"/>
        <v>15.305227865013967</v>
      </c>
      <c r="J34" s="19">
        <f t="shared" si="2"/>
        <v>26.717940075527295</v>
      </c>
    </row>
    <row r="35" spans="7:10" ht="22.2" x14ac:dyDescent="0.25">
      <c r="G35" s="19">
        <v>4</v>
      </c>
      <c r="H35" s="19">
        <f t="shared" si="0"/>
        <v>11.916375287812984</v>
      </c>
      <c r="I35" s="19">
        <f t="shared" si="1"/>
        <v>15.811388300841896</v>
      </c>
      <c r="J35" s="19">
        <f t="shared" si="2"/>
        <v>27.727763588654881</v>
      </c>
    </row>
    <row r="36" spans="7:10" ht="22.2" x14ac:dyDescent="0.25">
      <c r="G36" s="19">
        <v>4.5</v>
      </c>
      <c r="H36" s="19">
        <f t="shared" si="0"/>
        <v>12.419742348374221</v>
      </c>
      <c r="I36" s="19">
        <f t="shared" si="1"/>
        <v>16.317168872080721</v>
      </c>
      <c r="J36" s="19">
        <f t="shared" si="2"/>
        <v>28.736911220454942</v>
      </c>
    </row>
    <row r="37" spans="7:10" ht="22.2" x14ac:dyDescent="0.25">
      <c r="G37" s="19">
        <v>5</v>
      </c>
      <c r="H37" s="19">
        <f t="shared" si="0"/>
        <v>12.922847983320086</v>
      </c>
      <c r="I37" s="19">
        <f t="shared" si="1"/>
        <v>16.822603841260722</v>
      </c>
      <c r="J37" s="19">
        <f t="shared" si="2"/>
        <v>29.745451824580808</v>
      </c>
    </row>
    <row r="38" spans="7:10" ht="22.2" x14ac:dyDescent="0.25">
      <c r="G38" s="19">
        <v>5.5</v>
      </c>
      <c r="H38" s="19">
        <f t="shared" si="0"/>
        <v>13.425721582097552</v>
      </c>
      <c r="I38" s="19">
        <f t="shared" si="1"/>
        <v>17.327723451163457</v>
      </c>
      <c r="J38" s="19">
        <f t="shared" si="2"/>
        <v>30.753445033261009</v>
      </c>
    </row>
    <row r="39" spans="7:10" ht="22.2" x14ac:dyDescent="0.25">
      <c r="G39" s="19">
        <v>6</v>
      </c>
      <c r="H39" s="19">
        <f t="shared" si="0"/>
        <v>13.928388277184119</v>
      </c>
      <c r="I39" s="19">
        <f t="shared" si="1"/>
        <v>17.832554500127006</v>
      </c>
      <c r="J39" s="19">
        <f t="shared" si="2"/>
        <v>31.760942777311126</v>
      </c>
    </row>
    <row r="40" spans="7:10" ht="22.2" x14ac:dyDescent="0.25">
      <c r="G40" s="19">
        <v>6.5</v>
      </c>
      <c r="H40" s="19">
        <f t="shared" si="0"/>
        <v>14.430869689661812</v>
      </c>
      <c r="I40" s="19">
        <f t="shared" si="1"/>
        <v>18.337120820892249</v>
      </c>
      <c r="J40" s="19">
        <f t="shared" si="2"/>
        <v>32.767990510554057</v>
      </c>
    </row>
    <row r="41" spans="7:10" ht="22.2" x14ac:dyDescent="0.25">
      <c r="G41" s="19">
        <v>7</v>
      </c>
      <c r="H41" s="19">
        <f t="shared" si="0"/>
        <v>14.933184523068078</v>
      </c>
      <c r="I41" s="19">
        <f t="shared" si="1"/>
        <v>18.841443681416774</v>
      </c>
      <c r="J41" s="19">
        <f t="shared" si="2"/>
        <v>33.774628204484856</v>
      </c>
    </row>
    <row r="42" spans="7:10" ht="22.2" x14ac:dyDescent="0.25">
      <c r="G42" s="19">
        <v>7.5</v>
      </c>
      <c r="H42" s="19">
        <f t="shared" si="0"/>
        <v>15.435349040433131</v>
      </c>
      <c r="I42" s="19">
        <f t="shared" si="1"/>
        <v>19.345542122153102</v>
      </c>
      <c r="J42" s="19">
        <f t="shared" si="2"/>
        <v>34.780891162586229</v>
      </c>
    </row>
    <row r="43" spans="7:10" ht="22.2" x14ac:dyDescent="0.25">
      <c r="G43" s="19">
        <v>8</v>
      </c>
      <c r="H43" s="19">
        <f t="shared" si="0"/>
        <v>15.937377450509228</v>
      </c>
      <c r="I43" s="19">
        <f t="shared" si="1"/>
        <v>19.849433241279208</v>
      </c>
      <c r="J43" s="19">
        <f t="shared" si="2"/>
        <v>35.786810691788432</v>
      </c>
    </row>
    <row r="44" spans="7:10" ht="22.2" x14ac:dyDescent="0.25">
      <c r="G44" s="19">
        <v>8.5</v>
      </c>
      <c r="H44" s="19">
        <f t="shared" si="0"/>
        <v>16.439282222773596</v>
      </c>
      <c r="I44" s="19">
        <f t="shared" si="1"/>
        <v>20.35313243704762</v>
      </c>
      <c r="J44" s="19">
        <f t="shared" si="2"/>
        <v>36.792414659821219</v>
      </c>
    </row>
    <row r="45" spans="7:10" ht="22.2" x14ac:dyDescent="0.25">
      <c r="G45" s="19">
        <v>9</v>
      </c>
      <c r="H45" s="19">
        <f t="shared" si="0"/>
        <v>16.941074346097416</v>
      </c>
      <c r="I45" s="19">
        <f t="shared" si="1"/>
        <v>20.85665361461421</v>
      </c>
      <c r="J45" s="19">
        <f t="shared" si="2"/>
        <v>37.797727960711626</v>
      </c>
    </row>
    <row r="46" spans="7:10" ht="22.2" x14ac:dyDescent="0.25">
      <c r="G46" s="19">
        <v>9.5</v>
      </c>
      <c r="H46" s="19">
        <f t="shared" si="0"/>
        <v>17.442763542512409</v>
      </c>
      <c r="I46" s="19">
        <f t="shared" si="1"/>
        <v>21.360009363293827</v>
      </c>
      <c r="J46" s="19">
        <f t="shared" si="2"/>
        <v>38.802772905806236</v>
      </c>
    </row>
    <row r="47" spans="7:10" ht="22.2" x14ac:dyDescent="0.25">
      <c r="G47" s="19">
        <v>10</v>
      </c>
      <c r="H47" s="19">
        <f t="shared" si="0"/>
        <v>17.944358444926362</v>
      </c>
      <c r="I47" s="19">
        <f t="shared" si="1"/>
        <v>21.863211109075447</v>
      </c>
      <c r="J47" s="19">
        <f t="shared" si="2"/>
        <v>39.807569554001809</v>
      </c>
    </row>
    <row r="48" spans="7:10" ht="22.2" x14ac:dyDescent="0.25">
      <c r="G48" s="19">
        <v>10.5</v>
      </c>
      <c r="H48" s="19">
        <f t="shared" si="0"/>
        <v>18.445866745696716</v>
      </c>
      <c r="I48" s="19">
        <f t="shared" si="1"/>
        <v>22.366269246345041</v>
      </c>
      <c r="J48" s="19">
        <f t="shared" si="2"/>
        <v>40.81213599204176</v>
      </c>
    </row>
    <row r="49" spans="7:10" ht="22.2" x14ac:dyDescent="0.25">
      <c r="G49" s="19">
        <v>11</v>
      </c>
      <c r="H49" s="19">
        <f t="shared" si="0"/>
        <v>18.947295321496416</v>
      </c>
      <c r="I49" s="19">
        <f t="shared" si="1"/>
        <v>22.869193252058544</v>
      </c>
      <c r="J49" s="19">
        <f t="shared" si="2"/>
        <v>41.816488573554963</v>
      </c>
    </row>
    <row r="50" spans="7:10" ht="22.2" x14ac:dyDescent="0.25">
      <c r="G50" s="19">
        <v>11.5</v>
      </c>
      <c r="H50" s="19">
        <f t="shared" si="0"/>
        <v>19.448650338776723</v>
      </c>
      <c r="I50" s="19">
        <f t="shared" si="1"/>
        <v>23.371991785040485</v>
      </c>
      <c r="J50" s="19">
        <f t="shared" si="2"/>
        <v>42.820642123817208</v>
      </c>
    </row>
    <row r="51" spans="7:10" ht="22.2" x14ac:dyDescent="0.25">
      <c r="G51" s="19">
        <v>12</v>
      </c>
      <c r="H51" s="19">
        <f t="shared" si="0"/>
        <v>19.949937343260004</v>
      </c>
      <c r="I51" s="19">
        <f t="shared" si="1"/>
        <v>23.874672772626646</v>
      </c>
      <c r="J51" s="19">
        <f t="shared" si="2"/>
        <v>43.824610115886649</v>
      </c>
    </row>
    <row r="52" spans="7:10" ht="22.2" x14ac:dyDescent="0.25">
      <c r="G52" s="19">
        <v>12.5</v>
      </c>
      <c r="H52" s="19">
        <f t="shared" si="0"/>
        <v>20.451161336217559</v>
      </c>
      <c r="I52" s="19">
        <f t="shared" si="1"/>
        <v>24.377243486497811</v>
      </c>
      <c r="J52" s="19">
        <f t="shared" si="2"/>
        <v>44.82840482271537</v>
      </c>
    </row>
    <row r="53" spans="7:10" ht="22.2" x14ac:dyDescent="0.25">
      <c r="G53" s="19">
        <v>13</v>
      </c>
      <c r="H53" s="19">
        <f t="shared" si="0"/>
        <v>20.952326839756964</v>
      </c>
      <c r="I53" s="19">
        <f t="shared" si="1"/>
        <v>24.879710609249457</v>
      </c>
      <c r="J53" s="19">
        <f t="shared" si="2"/>
        <v>45.832037449006421</v>
      </c>
    </row>
    <row r="54" spans="7:10" ht="22.2" x14ac:dyDescent="0.25">
      <c r="G54" s="19">
        <v>13.5</v>
      </c>
      <c r="H54" s="19">
        <f t="shared" si="0"/>
        <v>21.453437952924933</v>
      </c>
      <c r="I54" s="19">
        <f t="shared" si="1"/>
        <v>25.382080292994111</v>
      </c>
      <c r="J54" s="19">
        <f t="shared" si="2"/>
        <v>46.835518245919047</v>
      </c>
    </row>
    <row r="55" spans="7:10" ht="22.2" x14ac:dyDescent="0.25">
      <c r="G55" s="19">
        <v>14</v>
      </c>
      <c r="H55" s="19">
        <f t="shared" si="0"/>
        <v>21.95449840010015</v>
      </c>
      <c r="I55" s="19">
        <f t="shared" si="1"/>
        <v>25.88435821108957</v>
      </c>
      <c r="J55" s="19">
        <f t="shared" si="2"/>
        <v>47.838856611189719</v>
      </c>
    </row>
    <row r="56" spans="7:10" ht="22.2" x14ac:dyDescent="0.25">
      <c r="G56" s="19">
        <v>14.5</v>
      </c>
      <c r="H56" s="19">
        <f t="shared" si="0"/>
        <v>22.455511572885619</v>
      </c>
      <c r="I56" s="19">
        <f t="shared" si="1"/>
        <v>26.386549603917523</v>
      </c>
      <c r="J56" s="19">
        <f t="shared" si="2"/>
        <v>48.842061176803142</v>
      </c>
    </row>
    <row r="57" spans="7:10" ht="22.2" x14ac:dyDescent="0.25">
      <c r="G57" s="19">
        <v>15</v>
      </c>
      <c r="H57" s="19">
        <f t="shared" si="0"/>
        <v>22.956480566497994</v>
      </c>
      <c r="I57" s="19">
        <f t="shared" si="1"/>
        <v>26.888659319497503</v>
      </c>
      <c r="J57" s="19">
        <f t="shared" si="2"/>
        <v>49.845139885995494</v>
      </c>
    </row>
    <row r="58" spans="7:10" ht="22.2" x14ac:dyDescent="0.25">
      <c r="G58" s="19">
        <v>15.5</v>
      </c>
      <c r="H58" s="19">
        <f t="shared" si="0"/>
        <v>23.457408211479802</v>
      </c>
      <c r="I58" s="19">
        <f t="shared" si="1"/>
        <v>27.390691849604675</v>
      </c>
      <c r="J58" s="19">
        <f t="shared" si="2"/>
        <v>50.84810006108448</v>
      </c>
    </row>
    <row r="59" spans="7:10" ht="22.2" x14ac:dyDescent="0.25">
      <c r="G59" s="19">
        <v>16</v>
      </c>
      <c r="H59" s="19">
        <f t="shared" si="0"/>
        <v>23.958297101421877</v>
      </c>
      <c r="I59" s="19">
        <f t="shared" si="1"/>
        <v>27.892651361962706</v>
      </c>
      <c r="J59" s="19">
        <f t="shared" si="2"/>
        <v>51.850948463384583</v>
      </c>
    </row>
    <row r="60" spans="7:10" ht="22.2" x14ac:dyDescent="0.25">
      <c r="G60" s="19">
        <v>16.5</v>
      </c>
      <c r="H60" s="19">
        <f t="shared" si="0"/>
        <v>24.459149617270018</v>
      </c>
      <c r="I60" s="19">
        <f t="shared" si="1"/>
        <v>28.394541729001368</v>
      </c>
      <c r="J60" s="19">
        <f t="shared" si="2"/>
        <v>52.85369134627139</v>
      </c>
    </row>
    <row r="61" spans="7:10" ht="22.2" x14ac:dyDescent="0.25">
      <c r="G61" s="19">
        <v>17</v>
      </c>
      <c r="H61" s="19">
        <f t="shared" si="0"/>
        <v>24.959967948697368</v>
      </c>
      <c r="I61" s="19">
        <f t="shared" si="1"/>
        <v>28.89636655359978</v>
      </c>
      <c r="J61" s="19">
        <f t="shared" si="2"/>
        <v>53.856334502297145</v>
      </c>
    </row>
    <row r="62" spans="7:10" ht="22.2" x14ac:dyDescent="0.25">
      <c r="G62" s="19">
        <v>17.5</v>
      </c>
      <c r="H62" s="19">
        <f t="shared" si="0"/>
        <v>25.460754112948031</v>
      </c>
      <c r="I62" s="19">
        <f t="shared" si="1"/>
        <v>29.3981291921782</v>
      </c>
      <c r="J62" s="19">
        <f t="shared" si="2"/>
        <v>54.858883305126227</v>
      </c>
    </row>
    <row r="63" spans="7:10" ht="22.2" x14ac:dyDescent="0.25">
      <c r="G63" s="19">
        <v>18</v>
      </c>
      <c r="H63" s="19">
        <f t="shared" si="0"/>
        <v>25.96150997149434</v>
      </c>
      <c r="I63" s="19">
        <f t="shared" si="1"/>
        <v>29.899832775452108</v>
      </c>
      <c r="J63" s="19">
        <f t="shared" si="2"/>
        <v>55.861342746946448</v>
      </c>
    </row>
    <row r="64" spans="7:10" ht="22.2" x14ac:dyDescent="0.25">
      <c r="G64" s="19">
        <v>18.5</v>
      </c>
      <c r="H64" s="19">
        <f t="shared" si="0"/>
        <v>26.462237244798484</v>
      </c>
      <c r="I64" s="19">
        <f t="shared" si="1"/>
        <v>30.401480227120523</v>
      </c>
      <c r="J64" s="19">
        <f t="shared" si="2"/>
        <v>56.863717471919003</v>
      </c>
    </row>
    <row r="65" spans="7:10" ht="22.2" x14ac:dyDescent="0.25">
      <c r="G65" s="19">
        <v>19</v>
      </c>
      <c r="H65" s="19">
        <f t="shared" si="0"/>
        <v>26.962937525425527</v>
      </c>
      <c r="I65" s="19">
        <f t="shared" si="1"/>
        <v>30.903074280724887</v>
      </c>
      <c r="J65" s="19">
        <f t="shared" si="2"/>
        <v>57.866011806150411</v>
      </c>
    </row>
    <row r="66" spans="7:10" ht="22.2" x14ac:dyDescent="0.25">
      <c r="G66" s="19">
        <v>19.5</v>
      </c>
      <c r="H66" s="19">
        <f t="shared" si="0"/>
        <v>27.463612289718917</v>
      </c>
      <c r="I66" s="19">
        <f t="shared" si="1"/>
        <v>31.404617494884409</v>
      </c>
      <c r="J66" s="19">
        <f t="shared" si="2"/>
        <v>58.868229784603329</v>
      </c>
    </row>
    <row r="67" spans="7:10" ht="22.2" x14ac:dyDescent="0.25">
      <c r="G67" s="19">
        <v>20</v>
      </c>
      <c r="H67" s="19">
        <f t="shared" si="0"/>
        <v>27.964262908219126</v>
      </c>
      <c r="I67" s="19">
        <f t="shared" si="1"/>
        <v>31.906112267087632</v>
      </c>
      <c r="J67" s="19">
        <f t="shared" si="2"/>
        <v>59.870375175306762</v>
      </c>
    </row>
    <row r="68" spans="7:10" ht="22.2" x14ac:dyDescent="0.25">
      <c r="G68" s="19">
        <v>20.5</v>
      </c>
      <c r="H68" s="19">
        <f t="shared" si="0"/>
        <v>28.464890654980568</v>
      </c>
      <c r="I68" s="19">
        <f t="shared" si="1"/>
        <v>32.407560846197605</v>
      </c>
      <c r="J68" s="19">
        <f t="shared" si="2"/>
        <v>60.872451501178176</v>
      </c>
    </row>
    <row r="69" spans="7:10" ht="22.2" x14ac:dyDescent="0.25">
      <c r="G69" s="19">
        <v>21</v>
      </c>
      <c r="H69" s="19">
        <f t="shared" si="0"/>
        <v>28.965496715920477</v>
      </c>
      <c r="I69" s="19">
        <f t="shared" si="1"/>
        <v>32.908965343808667</v>
      </c>
      <c r="J69" s="19">
        <f t="shared" si="2"/>
        <v>61.87446205972914</v>
      </c>
    </row>
    <row r="70" spans="7:10" ht="22.2" x14ac:dyDescent="0.25">
      <c r="G70" s="19">
        <v>21.5</v>
      </c>
      <c r="H70" s="19">
        <f t="shared" si="0"/>
        <v>29.466082196315138</v>
      </c>
      <c r="I70" s="19">
        <f t="shared" si="1"/>
        <v>33.410327744576229</v>
      </c>
      <c r="J70" s="19">
        <f t="shared" si="2"/>
        <v>62.876409940891364</v>
      </c>
    </row>
    <row r="71" spans="7:10" ht="22.2" x14ac:dyDescent="0.25">
      <c r="G71" s="19">
        <v>22</v>
      </c>
      <c r="H71" s="19">
        <f t="shared" si="0"/>
        <v>29.966648127543394</v>
      </c>
      <c r="I71" s="19">
        <f t="shared" si="1"/>
        <v>33.911649915626342</v>
      </c>
      <c r="J71" s="19">
        <f t="shared" si="2"/>
        <v>63.878298043169735</v>
      </c>
    </row>
    <row r="72" spans="7:10" ht="22.2" x14ac:dyDescent="0.25">
      <c r="G72" s="19">
        <v>22.5</v>
      </c>
      <c r="H72" s="19">
        <f t="shared" ref="H72:H82" si="3">((G72+$C$7)^2*(1)+$D$7)^0.5</f>
        <v>30.467195473164246</v>
      </c>
      <c r="I72" s="19">
        <f t="shared" ref="I72:I79" si="4">(($E$7+G72)^2+$F$7)^0.5</f>
        <v>34.412933615139529</v>
      </c>
      <c r="J72" s="19">
        <f t="shared" ref="J72:J79" si="5">H72+I72</f>
        <v>64.880129088303775</v>
      </c>
    </row>
    <row r="73" spans="7:10" ht="22.2" x14ac:dyDescent="0.25">
      <c r="G73" s="19">
        <v>23</v>
      </c>
      <c r="H73" s="19">
        <f t="shared" si="3"/>
        <v>30.967725134404045</v>
      </c>
      <c r="I73" s="19">
        <f t="shared" si="4"/>
        <v>34.914180500192181</v>
      </c>
      <c r="J73" s="19">
        <f t="shared" si="5"/>
        <v>65.881905634596222</v>
      </c>
    </row>
    <row r="74" spans="7:10" ht="22.2" x14ac:dyDescent="0.25">
      <c r="G74" s="19">
        <v>23.5</v>
      </c>
      <c r="H74" s="19">
        <f t="shared" si="3"/>
        <v>31.468237955119125</v>
      </c>
      <c r="I74" s="19">
        <f t="shared" si="4"/>
        <v>35.415392133929565</v>
      </c>
      <c r="J74" s="19">
        <f t="shared" si="5"/>
        <v>66.883630089048694</v>
      </c>
    </row>
    <row r="75" spans="7:10" ht="22.2" x14ac:dyDescent="0.25">
      <c r="G75" s="19">
        <v>24</v>
      </c>
      <c r="H75" s="19">
        <f t="shared" si="3"/>
        <v>31.968734726291562</v>
      </c>
      <c r="I75" s="19">
        <f t="shared" si="4"/>
        <v>35.91656999213594</v>
      </c>
      <c r="J75" s="19">
        <f t="shared" si="5"/>
        <v>67.885304718427506</v>
      </c>
    </row>
    <row r="76" spans="7:10" ht="22.2" x14ac:dyDescent="0.25">
      <c r="G76" s="19">
        <v>24.5</v>
      </c>
      <c r="H76" s="19">
        <f t="shared" si="3"/>
        <v>32.46921619010844</v>
      </c>
      <c r="I76" s="19">
        <f t="shared" si="4"/>
        <v>36.417715469260287</v>
      </c>
      <c r="J76" s="19">
        <f t="shared" si="5"/>
        <v>68.886931659368727</v>
      </c>
    </row>
    <row r="77" spans="7:10" ht="22.2" x14ac:dyDescent="0.25">
      <c r="G77" s="19">
        <v>25</v>
      </c>
      <c r="H77" s="19">
        <f t="shared" si="3"/>
        <v>32.969683043669072</v>
      </c>
      <c r="I77" s="19">
        <f t="shared" si="4"/>
        <v>36.918829883949464</v>
      </c>
      <c r="J77" s="19">
        <f t="shared" si="5"/>
        <v>69.888512927618535</v>
      </c>
    </row>
    <row r="78" spans="7:10" ht="22.2" x14ac:dyDescent="0.25">
      <c r="G78" s="19">
        <v>25.5</v>
      </c>
      <c r="H78" s="19">
        <f t="shared" si="3"/>
        <v>33.470135942359121</v>
      </c>
      <c r="I78" s="19">
        <f t="shared" si="4"/>
        <v>37.419914484135319</v>
      </c>
      <c r="J78" s="19">
        <f t="shared" si="5"/>
        <v>70.89005042649444</v>
      </c>
    </row>
    <row r="79" spans="7:10" ht="22.2" x14ac:dyDescent="0.25">
      <c r="G79" s="19">
        <v>26</v>
      </c>
      <c r="H79" s="19">
        <f t="shared" si="3"/>
        <v>33.97057550292606</v>
      </c>
      <c r="I79" s="19">
        <f t="shared" si="4"/>
        <v>37.920970451717082</v>
      </c>
      <c r="J79" s="19">
        <f t="shared" si="5"/>
        <v>71.891545954643135</v>
      </c>
    </row>
    <row r="80" spans="7:10" ht="22.2" x14ac:dyDescent="0.25">
      <c r="G80" s="19">
        <v>26.5</v>
      </c>
      <c r="H80" s="19">
        <f t="shared" si="3"/>
        <v>34.471002306286366</v>
      </c>
      <c r="I80" s="19">
        <f t="shared" ref="I80:I82" si="6">(($E$7+G80)^2+$F$7)^0.5</f>
        <v>38.421998906876254</v>
      </c>
      <c r="J80" s="19">
        <f t="shared" ref="J80:J82" si="7">H80+I80</f>
        <v>72.89300121316262</v>
      </c>
    </row>
    <row r="81" spans="7:10" ht="22.2" x14ac:dyDescent="0.25">
      <c r="G81" s="19">
        <v>27</v>
      </c>
      <c r="H81" s="19">
        <f t="shared" si="3"/>
        <v>34.97141690009142</v>
      </c>
      <c r="I81" s="19">
        <f t="shared" si="6"/>
        <v>38.923000912057127</v>
      </c>
      <c r="J81" s="19">
        <f t="shared" si="7"/>
        <v>73.894417812148546</v>
      </c>
    </row>
    <row r="82" spans="7:10" ht="22.2" x14ac:dyDescent="0.25">
      <c r="G82" s="19">
        <v>27.5</v>
      </c>
      <c r="H82" s="19">
        <f t="shared" si="3"/>
        <v>35.471819801075895</v>
      </c>
      <c r="I82" s="19">
        <f t="shared" si="6"/>
        <v>39.423977475642914</v>
      </c>
      <c r="J82" s="19">
        <f t="shared" si="7"/>
        <v>74.89579727671881</v>
      </c>
    </row>
  </sheetData>
  <mergeCells count="3">
    <mergeCell ref="L6:M7"/>
    <mergeCell ref="N6:Q6"/>
    <mergeCell ref="N7:Q7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3073" r:id="rId4">
          <objectPr defaultSize="0" autoPict="0" r:id="rId5">
            <anchor moveWithCells="1" sizeWithCells="1">
              <from>
                <xdr:col>1</xdr:col>
                <xdr:colOff>579120</xdr:colOff>
                <xdr:row>0</xdr:row>
                <xdr:rowOff>144780</xdr:rowOff>
              </from>
              <to>
                <xdr:col>15</xdr:col>
                <xdr:colOff>0</xdr:colOff>
                <xdr:row>3</xdr:row>
                <xdr:rowOff>213360</xdr:rowOff>
              </to>
            </anchor>
          </objectPr>
        </oleObject>
      </mc:Choice>
      <mc:Fallback>
        <oleObject progId="Equation.3" shapeId="3073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U22"/>
  <sheetViews>
    <sheetView tabSelected="1" workbookViewId="0"/>
  </sheetViews>
  <sheetFormatPr defaultRowHeight="14.4" x14ac:dyDescent="0.25"/>
  <cols>
    <col min="4" max="4" width="13.6640625" customWidth="1"/>
    <col min="10" max="10" width="17.21875" customWidth="1"/>
  </cols>
  <sheetData>
    <row r="2" spans="2:21" ht="25.8" x14ac:dyDescent="0.25">
      <c r="B2" s="16"/>
      <c r="C2" s="16"/>
      <c r="D2" s="16"/>
      <c r="E2" s="16"/>
      <c r="F2" s="16"/>
      <c r="G2" s="16"/>
      <c r="H2" s="16"/>
      <c r="I2" s="16"/>
      <c r="J2" s="16"/>
      <c r="K2" s="52" t="s">
        <v>37</v>
      </c>
      <c r="L2" s="53"/>
      <c r="M2" s="53"/>
      <c r="N2" s="53"/>
      <c r="O2" s="53"/>
      <c r="P2" s="53"/>
      <c r="Q2" s="53"/>
      <c r="R2" s="53"/>
      <c r="S2" s="53"/>
      <c r="T2" s="53"/>
      <c r="U2" s="53"/>
    </row>
    <row r="3" spans="2:21" ht="25.8" x14ac:dyDescent="0.25">
      <c r="B3" s="16"/>
      <c r="C3" s="16"/>
      <c r="D3" s="30" t="s">
        <v>8</v>
      </c>
      <c r="E3" s="30" t="s">
        <v>2</v>
      </c>
      <c r="F3" s="30" t="s">
        <v>3</v>
      </c>
      <c r="G3" s="30" t="s">
        <v>4</v>
      </c>
      <c r="H3" s="30" t="s">
        <v>5</v>
      </c>
      <c r="I3" s="30" t="s">
        <v>6</v>
      </c>
      <c r="J3" s="30" t="s">
        <v>36</v>
      </c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</row>
    <row r="4" spans="2:21" ht="25.8" x14ac:dyDescent="0.25">
      <c r="B4" s="16"/>
      <c r="C4" s="16"/>
      <c r="D4" s="30">
        <v>-2.8039201772569542</v>
      </c>
      <c r="E4" s="30">
        <v>1</v>
      </c>
      <c r="F4" s="30">
        <v>-3</v>
      </c>
      <c r="G4" s="30">
        <v>5</v>
      </c>
      <c r="H4" s="30">
        <v>-7</v>
      </c>
      <c r="I4" s="30">
        <v>2</v>
      </c>
      <c r="J4" s="30">
        <f>(D4^2+E4^2)^0.5+((F4-D4)^2+G4^2)^0.5+((H4-D4)^2+I4^2)^0.5</f>
        <v>12.629091361430209</v>
      </c>
      <c r="K4" s="16"/>
      <c r="L4" s="16"/>
      <c r="M4" s="16"/>
      <c r="N4" s="16"/>
      <c r="O4" s="16"/>
    </row>
    <row r="5" spans="2:21" ht="25.8" x14ac:dyDescent="0.25"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2:21" ht="25.8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2:21" ht="25.8" x14ac:dyDescent="0.25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2:21" ht="25.8" x14ac:dyDescent="0.25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2:21" ht="25.8" x14ac:dyDescent="0.25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</row>
    <row r="12" spans="2:21" ht="22.2" x14ac:dyDescent="0.25">
      <c r="F12" s="31" t="s">
        <v>8</v>
      </c>
      <c r="G12" s="31" t="s">
        <v>9</v>
      </c>
    </row>
    <row r="13" spans="2:21" ht="22.2" x14ac:dyDescent="0.25">
      <c r="F13" s="31">
        <v>0</v>
      </c>
      <c r="G13" s="31">
        <f>E4</f>
        <v>1</v>
      </c>
    </row>
    <row r="14" spans="2:21" ht="22.2" x14ac:dyDescent="0.25">
      <c r="F14" s="31">
        <f>D4</f>
        <v>-2.8039201772569542</v>
      </c>
      <c r="G14" s="31">
        <v>0</v>
      </c>
    </row>
    <row r="15" spans="2:21" ht="22.2" x14ac:dyDescent="0.25">
      <c r="F15" s="31">
        <f>F4</f>
        <v>-3</v>
      </c>
      <c r="G15" s="31">
        <f>G4</f>
        <v>5</v>
      </c>
    </row>
    <row r="16" spans="2:21" ht="22.2" x14ac:dyDescent="0.25">
      <c r="F16" s="31">
        <f>D4</f>
        <v>-2.8039201772569542</v>
      </c>
      <c r="G16" s="31">
        <v>0</v>
      </c>
    </row>
    <row r="17" spans="6:7" ht="22.2" x14ac:dyDescent="0.25">
      <c r="F17" s="31">
        <f>H4</f>
        <v>-7</v>
      </c>
      <c r="G17" s="31">
        <f>I4</f>
        <v>2</v>
      </c>
    </row>
    <row r="18" spans="6:7" ht="22.2" x14ac:dyDescent="0.25">
      <c r="F18" s="31">
        <f>D4</f>
        <v>-2.8039201772569542</v>
      </c>
      <c r="G18" s="31">
        <v>0</v>
      </c>
    </row>
    <row r="19" spans="6:7" ht="22.2" x14ac:dyDescent="0.25">
      <c r="F19" s="31">
        <f>F4</f>
        <v>-3</v>
      </c>
      <c r="G19" s="31">
        <f>-G4</f>
        <v>-5</v>
      </c>
    </row>
    <row r="20" spans="6:7" ht="22.2" x14ac:dyDescent="0.25">
      <c r="F20" s="13"/>
      <c r="G20" s="13"/>
    </row>
    <row r="21" spans="6:7" ht="22.2" x14ac:dyDescent="0.25">
      <c r="F21" s="13"/>
      <c r="G21" s="13"/>
    </row>
    <row r="22" spans="6:7" ht="22.2" x14ac:dyDescent="0.25">
      <c r="F22" s="13"/>
      <c r="G22" s="13"/>
    </row>
  </sheetData>
  <mergeCells count="1">
    <mergeCell ref="K2:U3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4097" r:id="rId4">
          <objectPr defaultSize="0" autoPict="0" r:id="rId5">
            <anchor moveWithCells="1" sizeWithCells="1">
              <from>
                <xdr:col>0</xdr:col>
                <xdr:colOff>563880</xdr:colOff>
                <xdr:row>5</xdr:row>
                <xdr:rowOff>281940</xdr:rowOff>
              </from>
              <to>
                <xdr:col>17</xdr:col>
                <xdr:colOff>53340</xdr:colOff>
                <xdr:row>8</xdr:row>
                <xdr:rowOff>213360</xdr:rowOff>
              </to>
            </anchor>
          </objectPr>
        </oleObject>
      </mc:Choice>
      <mc:Fallback>
        <oleObject progId="Equation.3" shapeId="4097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宏6">
                <anchor moveWithCells="1" sizeWithCells="1">
                  <from>
                    <xdr:col>17</xdr:col>
                    <xdr:colOff>335280</xdr:colOff>
                    <xdr:row>4</xdr:row>
                    <xdr:rowOff>198120</xdr:rowOff>
                  </from>
                  <to>
                    <xdr:col>21</xdr:col>
                    <xdr:colOff>15240</xdr:colOff>
                    <xdr:row>7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Sheet1</vt:lpstr>
      <vt:lpstr>Sheet5</vt:lpstr>
      <vt:lpstr>Sheet6</vt:lpstr>
      <vt:lpstr>Sheet7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flg</dc:creator>
  <cp:lastModifiedBy>flg</cp:lastModifiedBy>
  <dcterms:created xsi:type="dcterms:W3CDTF">2024-07-24T05:06:17Z</dcterms:created>
  <dcterms:modified xsi:type="dcterms:W3CDTF">2024-09-02T06:16:34Z</dcterms:modified>
</cp:coreProperties>
</file>